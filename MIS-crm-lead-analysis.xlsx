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tables/table2.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13_ncr:1_{55AFDAA4-FC64-46C1-A0DA-4DBC7673AE85}" xr6:coauthVersionLast="47" xr6:coauthVersionMax="47" xr10:uidLastSave="{00000000-0000-0000-0000-000000000000}"/>
  <bookViews>
    <workbookView xWindow="-108" yWindow="-108" windowWidth="23256" windowHeight="12456" activeTab="1" xr2:uid="{00000000-000D-0000-FFFF-FFFF00000000}"/>
  </bookViews>
  <sheets>
    <sheet name="Raw CRM Dump" sheetId="2" r:id="rId1"/>
    <sheet name="Cleaned Data" sheetId="13" r:id="rId2"/>
    <sheet name="Summary" sheetId="11" r:id="rId3"/>
    <sheet name="Dashboard &amp; Pivot table" sheetId="14" r:id="rId4"/>
  </sheets>
  <definedNames>
    <definedName name="_xlnm._FilterDatabase" localSheetId="1" hidden="1">'Cleaned Data'!$A$1:$J$1</definedName>
    <definedName name="Slicer_City">#N/A</definedName>
    <definedName name="Slicer_Statu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7" i="14" l="1"/>
  <c r="B46" i="11"/>
  <c r="C46" i="11" s="1"/>
  <c r="C5" i="11"/>
  <c r="Q7" i="14" s="1"/>
  <c r="A5" i="11"/>
  <c r="B39" i="11"/>
  <c r="C39" i="11" s="1"/>
  <c r="B40" i="11"/>
  <c r="C40" i="11" s="1"/>
  <c r="B41" i="11"/>
  <c r="C41" i="11" s="1"/>
  <c r="B42" i="11"/>
  <c r="C42" i="11" s="1"/>
  <c r="B43" i="11"/>
  <c r="C43" i="11" s="1"/>
  <c r="B44" i="11"/>
  <c r="C44" i="11" s="1"/>
  <c r="B45" i="11"/>
  <c r="C45" i="11" s="1"/>
  <c r="B38" i="11"/>
  <c r="C38" i="11" s="1"/>
  <c r="D22" i="11"/>
  <c r="E22" i="11"/>
  <c r="F22" i="11"/>
  <c r="G22" i="11"/>
  <c r="D23" i="11"/>
  <c r="E23" i="11"/>
  <c r="F23" i="11"/>
  <c r="G23" i="11"/>
  <c r="D24" i="11"/>
  <c r="E24" i="11"/>
  <c r="F24" i="11"/>
  <c r="G24" i="11"/>
  <c r="D25" i="11"/>
  <c r="E25" i="11"/>
  <c r="F25" i="11"/>
  <c r="G25" i="11"/>
  <c r="D26" i="11"/>
  <c r="E26" i="11"/>
  <c r="F26" i="11"/>
  <c r="G26" i="11"/>
  <c r="D27" i="11"/>
  <c r="E27" i="11"/>
  <c r="F27" i="11"/>
  <c r="G27" i="11"/>
  <c r="D28" i="11"/>
  <c r="E28" i="11"/>
  <c r="F28" i="11"/>
  <c r="G28" i="11"/>
  <c r="D29" i="11"/>
  <c r="E29" i="11"/>
  <c r="F29" i="11"/>
  <c r="G29" i="11"/>
  <c r="D30" i="11"/>
  <c r="E30" i="11"/>
  <c r="F30" i="11"/>
  <c r="G30" i="11"/>
  <c r="D31" i="11"/>
  <c r="E31" i="11"/>
  <c r="F31" i="11"/>
  <c r="G31" i="11"/>
  <c r="D32" i="11"/>
  <c r="E32" i="11"/>
  <c r="F32" i="11"/>
  <c r="G32" i="11"/>
  <c r="D33" i="11"/>
  <c r="E33" i="11"/>
  <c r="F33" i="11"/>
  <c r="G33" i="11"/>
  <c r="C23" i="11"/>
  <c r="C24" i="11"/>
  <c r="C25" i="11"/>
  <c r="C26" i="11"/>
  <c r="C27" i="11"/>
  <c r="C28" i="11"/>
  <c r="C29" i="11"/>
  <c r="C30" i="11"/>
  <c r="C31" i="11"/>
  <c r="C32" i="11"/>
  <c r="C33" i="11"/>
  <c r="C22" i="11"/>
  <c r="B23" i="11"/>
  <c r="B24" i="11"/>
  <c r="B25" i="11"/>
  <c r="B26" i="11"/>
  <c r="B27" i="11"/>
  <c r="B28" i="11"/>
  <c r="B29" i="11"/>
  <c r="B30" i="11"/>
  <c r="B31" i="11"/>
  <c r="B32" i="11"/>
  <c r="B33" i="11"/>
  <c r="B22" i="11"/>
  <c r="G13" i="11"/>
  <c r="H13" i="11" s="1"/>
  <c r="G14" i="11"/>
  <c r="H14" i="11" s="1"/>
  <c r="G15" i="11"/>
  <c r="H15" i="11" s="1"/>
  <c r="G16" i="11"/>
  <c r="H16" i="11" s="1"/>
  <c r="G17" i="11"/>
  <c r="H17" i="11" s="1"/>
  <c r="G12" i="11"/>
  <c r="H12" i="11" s="1"/>
  <c r="G11" i="11"/>
  <c r="H11" i="11" s="1"/>
  <c r="D14" i="11"/>
  <c r="D13" i="11"/>
  <c r="D12" i="11"/>
  <c r="D15" i="11"/>
  <c r="D11" i="11"/>
  <c r="B15" i="11"/>
  <c r="B14" i="11"/>
  <c r="B13" i="11"/>
  <c r="B12" i="11"/>
  <c r="B11" i="11"/>
  <c r="I5" i="11"/>
  <c r="G5" i="11"/>
  <c r="H24" i="11" l="1"/>
  <c r="H33" i="11"/>
  <c r="H23" i="11"/>
  <c r="H32" i="11"/>
  <c r="H22" i="11"/>
  <c r="H30" i="11"/>
  <c r="H31" i="11"/>
  <c r="H28" i="11"/>
  <c r="H27" i="11"/>
  <c r="H29" i="11"/>
  <c r="H26" i="11"/>
  <c r="H25" i="11"/>
  <c r="C14" i="11"/>
  <c r="C12" i="11"/>
  <c r="C13" i="11"/>
  <c r="C11" i="11"/>
  <c r="E5" i="11"/>
  <c r="C15"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E25BC-60CF-48A9-9BCF-0D592F6D57DF}"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<sst xmlns="http://schemas.openxmlformats.org/spreadsheetml/2006/main" count="8885" uniqueCount="1624">
  <si>
    <t>Lead ID</t>
  </si>
  <si>
    <t>Agent Name</t>
  </si>
  <si>
    <t>Lead Source</t>
  </si>
  <si>
    <t>Phone Number</t>
  </si>
  <si>
    <t>Email</t>
  </si>
  <si>
    <t>Lead Date</t>
  </si>
  <si>
    <t>Status</t>
  </si>
  <si>
    <t>City</t>
  </si>
  <si>
    <t>Follow-up Done</t>
  </si>
  <si>
    <t>Remarks</t>
  </si>
  <si>
    <t>LD0364</t>
  </si>
  <si>
    <t>R.Singh</t>
  </si>
  <si>
    <t>Referral</t>
  </si>
  <si>
    <t>+919804436995</t>
  </si>
  <si>
    <t>rohit.singh66@gmail.com</t>
  </si>
  <si>
    <t>03/01/2024</t>
  </si>
  <si>
    <t>Converted</t>
  </si>
  <si>
    <t>Chennai</t>
  </si>
  <si>
    <t>Yes</t>
  </si>
  <si>
    <t>Demo done</t>
  </si>
  <si>
    <t>LD0224</t>
  </si>
  <si>
    <t>K.Patel</t>
  </si>
  <si>
    <t>Meta Ads</t>
  </si>
  <si>
    <t>karan.patel32@gmail.com</t>
  </si>
  <si>
    <t>19-01-2024</t>
  </si>
  <si>
    <t>Pune</t>
  </si>
  <si>
    <t>No</t>
  </si>
  <si>
    <t>Wrong number</t>
  </si>
  <si>
    <t>LD0303</t>
  </si>
  <si>
    <t>Anjali Gupta</t>
  </si>
  <si>
    <t>N/A</t>
  </si>
  <si>
    <t>anjali.gupta71@gmail.com</t>
  </si>
  <si>
    <t>02/27/2024</t>
  </si>
  <si>
    <t>converted</t>
  </si>
  <si>
    <t>Price issue</t>
  </si>
  <si>
    <t>LD0087</t>
  </si>
  <si>
    <t>A.Gupta</t>
  </si>
  <si>
    <t>Google Ads</t>
  </si>
  <si>
    <t>+919345581223</t>
  </si>
  <si>
    <t>anjali.gupta9@gmail.com</t>
  </si>
  <si>
    <t>23 Feb 2024</t>
  </si>
  <si>
    <t>open</t>
  </si>
  <si>
    <t>Indore</t>
  </si>
  <si>
    <t>LD0319</t>
  </si>
  <si>
    <t>Rohit S</t>
  </si>
  <si>
    <t>IVR</t>
  </si>
  <si>
    <t>rohit.singh29@gmail.com</t>
  </si>
  <si>
    <t>03/03/2024</t>
  </si>
  <si>
    <t>Not Interested</t>
  </si>
  <si>
    <t>Mumbai</t>
  </si>
  <si>
    <t>no</t>
  </si>
  <si>
    <t>Closed deal</t>
  </si>
  <si>
    <t>LD0049</t>
  </si>
  <si>
    <t>2024-02-18</t>
  </si>
  <si>
    <t>Callback</t>
  </si>
  <si>
    <t>LD0342</t>
  </si>
  <si>
    <t>karan patel</t>
  </si>
  <si>
    <t>90805-31003</t>
  </si>
  <si>
    <t>karan.patel31@gmail.com</t>
  </si>
  <si>
    <t>17 Jan 2024</t>
  </si>
  <si>
    <t>LD0115</t>
  </si>
  <si>
    <t>D.Nair</t>
  </si>
  <si>
    <t>Walk-in</t>
  </si>
  <si>
    <t>divya.nair81@gmail.com</t>
  </si>
  <si>
    <t>01-02-2024</t>
  </si>
  <si>
    <t>Delhi</t>
  </si>
  <si>
    <t>Interested</t>
  </si>
  <si>
    <t>LD0386</t>
  </si>
  <si>
    <t>Divya N</t>
  </si>
  <si>
    <t>+919506716572</t>
  </si>
  <si>
    <t>divya.nair84@gmail.com</t>
  </si>
  <si>
    <t>04 Feb 2024</t>
  </si>
  <si>
    <t>Hyderabad</t>
  </si>
  <si>
    <t>yes</t>
  </si>
  <si>
    <t>LD0474</t>
  </si>
  <si>
    <t>Priya M</t>
  </si>
  <si>
    <t>99965-07527</t>
  </si>
  <si>
    <t>priya.mehta36@gmail.com</t>
  </si>
  <si>
    <t>2024-03-17</t>
  </si>
  <si>
    <t>Open</t>
  </si>
  <si>
    <t>LD0097</t>
  </si>
  <si>
    <t>rohit.singh68@gmail.com</t>
  </si>
  <si>
    <t>14 Feb 2024</t>
  </si>
  <si>
    <t>Jaipur</t>
  </si>
  <si>
    <t>LD0096</t>
  </si>
  <si>
    <t>919182337498</t>
  </si>
  <si>
    <t>2024-01-25</t>
  </si>
  <si>
    <t>LD0009</t>
  </si>
  <si>
    <t>amit verma</t>
  </si>
  <si>
    <t>+919842710947</t>
  </si>
  <si>
    <t>2024-01-07</t>
  </si>
  <si>
    <t>Follow up pending</t>
  </si>
  <si>
    <t>LD0111</t>
  </si>
  <si>
    <t>Priya Metha</t>
  </si>
  <si>
    <t>919294131869</t>
  </si>
  <si>
    <t>priya.mehta67@gmail.com</t>
  </si>
  <si>
    <t>18 Feb 2024</t>
  </si>
  <si>
    <t>LD0069</t>
  </si>
  <si>
    <t>P.Mehta</t>
  </si>
  <si>
    <t>priya.mehta30@gmail.com</t>
  </si>
  <si>
    <t>2024-02-06</t>
  </si>
  <si>
    <t>LD0155</t>
  </si>
  <si>
    <t>sneha joshi</t>
  </si>
  <si>
    <t>+91-9242102499</t>
  </si>
  <si>
    <t>sneha.joshi39@gmail.com</t>
  </si>
  <si>
    <t>30 Mar 2024</t>
  </si>
  <si>
    <t>Call back tomorrow</t>
  </si>
  <si>
    <t>LD0377</t>
  </si>
  <si>
    <t>rahul sharma</t>
  </si>
  <si>
    <t>rahul.sharma84@gmail.com</t>
  </si>
  <si>
    <t>2024-02-26</t>
  </si>
  <si>
    <t>Lost</t>
  </si>
  <si>
    <t>N</t>
  </si>
  <si>
    <t>LD0199</t>
  </si>
  <si>
    <t>priya mehta</t>
  </si>
  <si>
    <t>+919125674680</t>
  </si>
  <si>
    <t>2024-02-02</t>
  </si>
  <si>
    <t>LD0177</t>
  </si>
  <si>
    <t>Rahul  Sharma</t>
  </si>
  <si>
    <t>Organic</t>
  </si>
  <si>
    <t>+91-9038597703</t>
  </si>
  <si>
    <t>rahul.sharma57@gmail.com</t>
  </si>
  <si>
    <t>LD0490</t>
  </si>
  <si>
    <t>amit.verma61@gmail.com</t>
  </si>
  <si>
    <t>01 Feb 2024</t>
  </si>
  <si>
    <t>Bangalore</t>
  </si>
  <si>
    <t>LD0371</t>
  </si>
  <si>
    <t>919404499727</t>
  </si>
  <si>
    <t>karan.patel98@gmail.com</t>
  </si>
  <si>
    <t>10 Mar 2024</t>
  </si>
  <si>
    <t>LD0119</t>
  </si>
  <si>
    <t>919576627028</t>
  </si>
  <si>
    <t>26-02-2024</t>
  </si>
  <si>
    <t>LD0379</t>
  </si>
  <si>
    <t>Amit Verma</t>
  </si>
  <si>
    <t>9961586578</t>
  </si>
  <si>
    <t>amit.verma88@gmail.com</t>
  </si>
  <si>
    <t>02/06/2024</t>
  </si>
  <si>
    <t>LD0352</t>
  </si>
  <si>
    <t>+919504556238</t>
  </si>
  <si>
    <t>anjali.gupta22@gmail.com</t>
  </si>
  <si>
    <t>23-01-2024</t>
  </si>
  <si>
    <t>CONVERTED</t>
  </si>
  <si>
    <t>Not picking up</t>
  </si>
  <si>
    <t>LD0365</t>
  </si>
  <si>
    <t>+91-9074821759</t>
  </si>
  <si>
    <t>sneha.joshi33@gmail.com</t>
  </si>
  <si>
    <t>2024-02-28</t>
  </si>
  <si>
    <t>LD0408</t>
  </si>
  <si>
    <t>Rohit  Singh</t>
  </si>
  <si>
    <t>rohit.singh46@gmail.com</t>
  </si>
  <si>
    <t>01/29/2024</t>
  </si>
  <si>
    <t>LD0362</t>
  </si>
  <si>
    <t>R.Sharma</t>
  </si>
  <si>
    <t>rahul.sharma68@gmail.com</t>
  </si>
  <si>
    <t>2024-03-05</t>
  </si>
  <si>
    <t>LD0457</t>
  </si>
  <si>
    <t>Divya Nair</t>
  </si>
  <si>
    <t>9368516048</t>
  </si>
  <si>
    <t>divya.nair87@gmail.com</t>
  </si>
  <si>
    <t>03 Feb 2024</t>
  </si>
  <si>
    <t>LD0341</t>
  </si>
  <si>
    <t>9461200471</t>
  </si>
  <si>
    <t>divya.nair50@gmail.com</t>
  </si>
  <si>
    <t>LD0447</t>
  </si>
  <si>
    <t>Anjali G</t>
  </si>
  <si>
    <t>anjali.gupta25@gmail.com</t>
  </si>
  <si>
    <t>16 Jan 2024</t>
  </si>
  <si>
    <t>LD0133</t>
  </si>
  <si>
    <t>S.Joshi</t>
  </si>
  <si>
    <t>+91-9839335290</t>
  </si>
  <si>
    <t>2024-01-17</t>
  </si>
  <si>
    <t>LD0482</t>
  </si>
  <si>
    <t>divya.nair58@gmail.com</t>
  </si>
  <si>
    <t>03/05/2024</t>
  </si>
  <si>
    <t>LD0417</t>
  </si>
  <si>
    <t>+91-9771159212</t>
  </si>
  <si>
    <t>rahul.sharma92@gmail.com</t>
  </si>
  <si>
    <t>11 Feb 2024</t>
  </si>
  <si>
    <t>LD0202</t>
  </si>
  <si>
    <t>+91-9576615654</t>
  </si>
  <si>
    <t>sneha.joshi61@gmail.com</t>
  </si>
  <si>
    <t>09-01-2024</t>
  </si>
  <si>
    <t>LD0397</t>
  </si>
  <si>
    <t xml:space="preserve">Amit Verma </t>
  </si>
  <si>
    <t>+91-9851656049</t>
  </si>
  <si>
    <t>amit.verma28@gmail.com</t>
  </si>
  <si>
    <t>20 Jan 2024</t>
  </si>
  <si>
    <t>LD0430</t>
  </si>
  <si>
    <t>96899-80940</t>
  </si>
  <si>
    <t>divya.nair44@gmail.com</t>
  </si>
  <si>
    <t>14-02-2024</t>
  </si>
  <si>
    <t>LD0324</t>
  </si>
  <si>
    <t>Rahul Sharma</t>
  </si>
  <si>
    <t>9675254599</t>
  </si>
  <si>
    <t>20-03-2024</t>
  </si>
  <si>
    <t>LD0152</t>
  </si>
  <si>
    <t>rohit singh</t>
  </si>
  <si>
    <t>95614-97840</t>
  </si>
  <si>
    <t>rohit.singh1@gmail.com</t>
  </si>
  <si>
    <t>2024-01-27</t>
  </si>
  <si>
    <t>LD0060</t>
  </si>
  <si>
    <t>Priya Mehta</t>
  </si>
  <si>
    <t>priya.mehta59@gmail.com</t>
  </si>
  <si>
    <t>2024-01-10</t>
  </si>
  <si>
    <t>LD0147</t>
  </si>
  <si>
    <t>Rohit Singh</t>
  </si>
  <si>
    <t>919751613696</t>
  </si>
  <si>
    <t>2024-02-09</t>
  </si>
  <si>
    <t>LD0266</t>
  </si>
  <si>
    <t>95231-24329</t>
  </si>
  <si>
    <t>priya.mehta23@gmail.com</t>
  </si>
  <si>
    <t>21 Mar 2024</t>
  </si>
  <si>
    <t>LD0368</t>
  </si>
  <si>
    <t>+919449058147</t>
  </si>
  <si>
    <t>2024-02-17</t>
  </si>
  <si>
    <t>Y</t>
  </si>
  <si>
    <t>LD0154</t>
  </si>
  <si>
    <t>+919793597820</t>
  </si>
  <si>
    <t>13-02-2024</t>
  </si>
  <si>
    <t>LD0431</t>
  </si>
  <si>
    <t>anjali.gupta85@gmail.com</t>
  </si>
  <si>
    <t>03/18/2024</t>
  </si>
  <si>
    <t>LD0038</t>
  </si>
  <si>
    <t>9865281685</t>
  </si>
  <si>
    <t>2024-01-28</t>
  </si>
  <si>
    <t>LD0213</t>
  </si>
  <si>
    <t>Karan Patel</t>
  </si>
  <si>
    <t>karan.patel22@gmail.com</t>
  </si>
  <si>
    <t>LD0410</t>
  </si>
  <si>
    <t>+919359774688</t>
  </si>
  <si>
    <t>anjali.gupta78@gmail.com</t>
  </si>
  <si>
    <t>2024-01-18</t>
  </si>
  <si>
    <t>LD0262</t>
  </si>
  <si>
    <t>9478261375</t>
  </si>
  <si>
    <t>priya.mehta48@gmail.com</t>
  </si>
  <si>
    <t>31 Jan 2024</t>
  </si>
  <si>
    <t>LD0242</t>
  </si>
  <si>
    <t>18 Mar 2024</t>
  </si>
  <si>
    <t>LD0185</t>
  </si>
  <si>
    <t>Rahul S</t>
  </si>
  <si>
    <t>97117-98089</t>
  </si>
  <si>
    <t>rahul.sharma1@gmail.com</t>
  </si>
  <si>
    <t>2024-03-19</t>
  </si>
  <si>
    <t>LD0156</t>
  </si>
  <si>
    <t>2024-01-09</t>
  </si>
  <si>
    <t>LD0471</t>
  </si>
  <si>
    <t>9772217043</t>
  </si>
  <si>
    <t>amit.verma41@gmail.com</t>
  </si>
  <si>
    <t>09 Feb 2024</t>
  </si>
  <si>
    <t>LD0434</t>
  </si>
  <si>
    <t>rahul.sharma94@gmail.com</t>
  </si>
  <si>
    <t>24-02-2024</t>
  </si>
  <si>
    <t>LD0318</t>
  </si>
  <si>
    <t>divya.nair56@gmail.com</t>
  </si>
  <si>
    <t>05-02-2024</t>
  </si>
  <si>
    <t>LD0042</t>
  </si>
  <si>
    <t>919021355690</t>
  </si>
  <si>
    <t>amit.verma48@gmail.com</t>
  </si>
  <si>
    <t>17 Feb 2024</t>
  </si>
  <si>
    <t>LD0320</t>
  </si>
  <si>
    <t>919786814473</t>
  </si>
  <si>
    <t>karan.patel63@gmail.com</t>
  </si>
  <si>
    <t>26-01-2024</t>
  </si>
  <si>
    <t>LD0054</t>
  </si>
  <si>
    <t>9884422583</t>
  </si>
  <si>
    <t>priya.mehta31@gmail.com</t>
  </si>
  <si>
    <t>04-03-2024</t>
  </si>
  <si>
    <t>LD0422</t>
  </si>
  <si>
    <t>2024-02-29</t>
  </si>
  <si>
    <t>LD0241</t>
  </si>
  <si>
    <t>+91-9824225358</t>
  </si>
  <si>
    <t>rohit.singh82@gmail.com</t>
  </si>
  <si>
    <t>2024-03-11</t>
  </si>
  <si>
    <t>LD0464</t>
  </si>
  <si>
    <t>A.Verma</t>
  </si>
  <si>
    <t>amit.verma4@gmail.com</t>
  </si>
  <si>
    <t>2024-03-04</t>
  </si>
  <si>
    <t>LD0163</t>
  </si>
  <si>
    <t>97359-25556</t>
  </si>
  <si>
    <t>priya.mehta14@gmail.com</t>
  </si>
  <si>
    <t>02/10/2024</t>
  </si>
  <si>
    <t>LD0022</t>
  </si>
  <si>
    <t>919632595327</t>
  </si>
  <si>
    <t>priya.mehta64@gmail.com</t>
  </si>
  <si>
    <t>03-01-2024</t>
  </si>
  <si>
    <t>LD0106</t>
  </si>
  <si>
    <t>+91-9480162456</t>
  </si>
  <si>
    <t>01/07/2024</t>
  </si>
  <si>
    <t>LD0407</t>
  </si>
  <si>
    <t>anjali gupta</t>
  </si>
  <si>
    <t>91216-55852</t>
  </si>
  <si>
    <t>anjali.gupta6@gmail.com</t>
  </si>
  <si>
    <t>06-01-2024</t>
  </si>
  <si>
    <t>LD0469</t>
  </si>
  <si>
    <t>amit.verma73@gmail.com</t>
  </si>
  <si>
    <t>08 Feb 2024</t>
  </si>
  <si>
    <t>LD0484</t>
  </si>
  <si>
    <t>RAHUL SHARMA</t>
  </si>
  <si>
    <t>99309-72896</t>
  </si>
  <si>
    <t>rahul.sharma74@gmail.com</t>
  </si>
  <si>
    <t>30-03-2024</t>
  </si>
  <si>
    <t>LD0148</t>
  </si>
  <si>
    <t>Amit V</t>
  </si>
  <si>
    <t>919970283857</t>
  </si>
  <si>
    <t>amit.verma59@gmail.com</t>
  </si>
  <si>
    <t>2024-03-09</t>
  </si>
  <si>
    <t>LD0101</t>
  </si>
  <si>
    <t>+91-9443757584</t>
  </si>
  <si>
    <t>27 Mar 2024</t>
  </si>
  <si>
    <t>LD0458</t>
  </si>
  <si>
    <t>919733848421</t>
  </si>
  <si>
    <t>karan.patel7@gmail.com</t>
  </si>
  <si>
    <t>03/26/2024</t>
  </si>
  <si>
    <t>LD0388</t>
  </si>
  <si>
    <t>01/12/2024</t>
  </si>
  <si>
    <t>LD0171</t>
  </si>
  <si>
    <t>rahul.sharma18@gmail.com</t>
  </si>
  <si>
    <t>05 Mar 2024</t>
  </si>
  <si>
    <t>LD0446</t>
  </si>
  <si>
    <t>9493296685</t>
  </si>
  <si>
    <t>18 Jan 2024</t>
  </si>
  <si>
    <t>LD0440</t>
  </si>
  <si>
    <t>+91-9990453017</t>
  </si>
  <si>
    <t>sneha.joshi91@gmail.com</t>
  </si>
  <si>
    <t>09-02-2024</t>
  </si>
  <si>
    <t>LD0298</t>
  </si>
  <si>
    <t>+919687833918</t>
  </si>
  <si>
    <t>anjali.gupta73@gmail.com</t>
  </si>
  <si>
    <t>15-01-2024</t>
  </si>
  <si>
    <t>LD0231</t>
  </si>
  <si>
    <t>+919718707286</t>
  </si>
  <si>
    <t>anjali.gupta87@gmail.com</t>
  </si>
  <si>
    <t>LD0093</t>
  </si>
  <si>
    <t>priya.mehta54@gmail.com</t>
  </si>
  <si>
    <t>LD0270</t>
  </si>
  <si>
    <t>+919682300478</t>
  </si>
  <si>
    <t>amit.verma32@gmail.com</t>
  </si>
  <si>
    <t>LD0142</t>
  </si>
  <si>
    <t>919079030673</t>
  </si>
  <si>
    <t>rahul.sharma8@gmail.com</t>
  </si>
  <si>
    <t>LD0218</t>
  </si>
  <si>
    <t>Sneha J</t>
  </si>
  <si>
    <t>919364408926</t>
  </si>
  <si>
    <t>sneha.joshi83@gmail.com</t>
  </si>
  <si>
    <t>26 Mar 2024</t>
  </si>
  <si>
    <t>LD0459</t>
  </si>
  <si>
    <t>919342708668</t>
  </si>
  <si>
    <t>2024-02-01</t>
  </si>
  <si>
    <t>LD0250</t>
  </si>
  <si>
    <t>94699-01398</t>
  </si>
  <si>
    <t>priya.mehta43@gmail.com</t>
  </si>
  <si>
    <t>08-02-2024</t>
  </si>
  <si>
    <t>LD0335</t>
  </si>
  <si>
    <t>Sneha  Joshi</t>
  </si>
  <si>
    <t>+91-9854678544</t>
  </si>
  <si>
    <t>sneha.joshi13@gmail.com</t>
  </si>
  <si>
    <t>2024-03-01</t>
  </si>
  <si>
    <t>LD0310</t>
  </si>
  <si>
    <t>+919642353693</t>
  </si>
  <si>
    <t>amit.verma44@gmail.com</t>
  </si>
  <si>
    <t>02 Feb 2024</t>
  </si>
  <si>
    <t>LD0103</t>
  </si>
  <si>
    <t>anjali.gupta59@gmail.com</t>
  </si>
  <si>
    <t>17-02-2024</t>
  </si>
  <si>
    <t>LD0023</t>
  </si>
  <si>
    <t>98408-62118</t>
  </si>
  <si>
    <t>rohit.singh33@gmail.com</t>
  </si>
  <si>
    <t>2024-02-15</t>
  </si>
  <si>
    <t>LD0347</t>
  </si>
  <si>
    <t>sneha.joshi56@gmail.com</t>
  </si>
  <si>
    <t>2024-03-23</t>
  </si>
  <si>
    <t>LD0204</t>
  </si>
  <si>
    <t>94890-25039</t>
  </si>
  <si>
    <t>anjali.gupta51@gmail.com</t>
  </si>
  <si>
    <t>LD0112</t>
  </si>
  <si>
    <t>divya.nair42@gmail.com</t>
  </si>
  <si>
    <t>2024-01-04</t>
  </si>
  <si>
    <t>LD0080</t>
  </si>
  <si>
    <t>2024-02-19</t>
  </si>
  <si>
    <t>LD0157</t>
  </si>
  <si>
    <t>divya nair</t>
  </si>
  <si>
    <t>9267888610</t>
  </si>
  <si>
    <t>LD0278</t>
  </si>
  <si>
    <t>98262-24447</t>
  </si>
  <si>
    <t>2024-02-25</t>
  </si>
  <si>
    <t>LD0372</t>
  </si>
  <si>
    <t>+919124065965</t>
  </si>
  <si>
    <t>sneha.joshi84@gmail.com</t>
  </si>
  <si>
    <t>03/17/2024</t>
  </si>
  <si>
    <t>LD0373</t>
  </si>
  <si>
    <t>99356-46519</t>
  </si>
  <si>
    <t>11-03-2024</t>
  </si>
  <si>
    <t>LD0333</t>
  </si>
  <si>
    <t>919342661797</t>
  </si>
  <si>
    <t>priya.mehta89@gmail.com</t>
  </si>
  <si>
    <t>23-02-2024</t>
  </si>
  <si>
    <t>LD0280</t>
  </si>
  <si>
    <t>divya.nair74@gmail.com</t>
  </si>
  <si>
    <t>29 Jan 2024</t>
  </si>
  <si>
    <t>LD0141</t>
  </si>
  <si>
    <t>+919254573875</t>
  </si>
  <si>
    <t>LD0380</t>
  </si>
  <si>
    <t>93828-25867</t>
  </si>
  <si>
    <t>rahul.sharma24@gmail.com</t>
  </si>
  <si>
    <t>22 Mar 2024</t>
  </si>
  <si>
    <t>LD0046</t>
  </si>
  <si>
    <t>93419-18255</t>
  </si>
  <si>
    <t>anjali.gupta63@gmail.com</t>
  </si>
  <si>
    <t>2024-03-08</t>
  </si>
  <si>
    <t>LD0183</t>
  </si>
  <si>
    <t>99912-51341</t>
  </si>
  <si>
    <t>19 Feb 2024</t>
  </si>
  <si>
    <t>LD0409</t>
  </si>
  <si>
    <t>92579-05072</t>
  </si>
  <si>
    <t>amit.verma65@gmail.com</t>
  </si>
  <si>
    <t>24 Mar 2024</t>
  </si>
  <si>
    <t>LD0181</t>
  </si>
  <si>
    <t>919340438427</t>
  </si>
  <si>
    <t>06-03-2024</t>
  </si>
  <si>
    <t>LD0391</t>
  </si>
  <si>
    <t>94074-51713</t>
  </si>
  <si>
    <t>anjali.gupta45@gmail.com</t>
  </si>
  <si>
    <t>19 Mar 2024</t>
  </si>
  <si>
    <t>LD0305</t>
  </si>
  <si>
    <t>98254-49481</t>
  </si>
  <si>
    <t>02/05/2024</t>
  </si>
  <si>
    <t>LD0229</t>
  </si>
  <si>
    <t>+919667116845</t>
  </si>
  <si>
    <t>12 Jan 2024</t>
  </si>
  <si>
    <t>LD0477</t>
  </si>
  <si>
    <t>9589297500</t>
  </si>
  <si>
    <t>sneha.joshi3@gmail.com</t>
  </si>
  <si>
    <t>01/16/2024</t>
  </si>
  <si>
    <t>LD0121</t>
  </si>
  <si>
    <t>+919541520643</t>
  </si>
  <si>
    <t>karan.patel1@gmail.com</t>
  </si>
  <si>
    <t>28 Jan 2024</t>
  </si>
  <si>
    <t>LD0075</t>
  </si>
  <si>
    <t>+91-9627136111</t>
  </si>
  <si>
    <t>rahul.sharma49@gmail.com</t>
  </si>
  <si>
    <t>01/18/2024</t>
  </si>
  <si>
    <t>LD0314</t>
  </si>
  <si>
    <t>anjali.gupta41@gmail.com</t>
  </si>
  <si>
    <t>LD0107</t>
  </si>
  <si>
    <t>9983640376</t>
  </si>
  <si>
    <t>rahul.sharma10@gmail.com</t>
  </si>
  <si>
    <t>08-03-2024</t>
  </si>
  <si>
    <t>LD0005</t>
  </si>
  <si>
    <t>919091043006</t>
  </si>
  <si>
    <t>divya.nair99@gmail.com</t>
  </si>
  <si>
    <t>LD0144</t>
  </si>
  <si>
    <t>98569-14630</t>
  </si>
  <si>
    <t>25-02-2024</t>
  </si>
  <si>
    <t>LD0020</t>
  </si>
  <si>
    <t>priya.mehta16@gmail.com</t>
  </si>
  <si>
    <t>LD0089</t>
  </si>
  <si>
    <t>01/02/2024</t>
  </si>
  <si>
    <t>LD0114</t>
  </si>
  <si>
    <t>9353654195</t>
  </si>
  <si>
    <t>rahul.sharma23@gmail.com</t>
  </si>
  <si>
    <t>29-01-2024</t>
  </si>
  <si>
    <t>LD0498</t>
  </si>
  <si>
    <t>Karan P</t>
  </si>
  <si>
    <t>+91-9053494937</t>
  </si>
  <si>
    <t>karan.patel99@gmail.com</t>
  </si>
  <si>
    <t>01/26/2024</t>
  </si>
  <si>
    <t>LD0214</t>
  </si>
  <si>
    <t>+919506413836</t>
  </si>
  <si>
    <t>sneha.joshi19@gmail.com</t>
  </si>
  <si>
    <t>LD0376</t>
  </si>
  <si>
    <t>+91-9619906234</t>
  </si>
  <si>
    <t>2024-03-30</t>
  </si>
  <si>
    <t>LD0358</t>
  </si>
  <si>
    <t>+919277561853</t>
  </si>
  <si>
    <t>amit.verma16@gmail.com</t>
  </si>
  <si>
    <t>LD0168</t>
  </si>
  <si>
    <t>01/14/2024</t>
  </si>
  <si>
    <t>LD0091</t>
  </si>
  <si>
    <t>9994101372</t>
  </si>
  <si>
    <t>amit.verma43@gmail.com</t>
  </si>
  <si>
    <t>16-01-2024</t>
  </si>
  <si>
    <t>LD0132</t>
  </si>
  <si>
    <t>919253244720</t>
  </si>
  <si>
    <t>rohit.singh38@gmail.com</t>
  </si>
  <si>
    <t>04 Mar 2024</t>
  </si>
  <si>
    <t>LD0406</t>
  </si>
  <si>
    <t>919380657875</t>
  </si>
  <si>
    <t>amit.verma24@gmail.com</t>
  </si>
  <si>
    <t>LD0161</t>
  </si>
  <si>
    <t>919321334803</t>
  </si>
  <si>
    <t>rahul.sharma46@gmail.com</t>
  </si>
  <si>
    <t>01/23/2024</t>
  </si>
  <si>
    <t>LD0197</t>
  </si>
  <si>
    <t>98427-01039</t>
  </si>
  <si>
    <t>02-03-2024</t>
  </si>
  <si>
    <t>LD0267</t>
  </si>
  <si>
    <t>+91-9002921851</t>
  </si>
  <si>
    <t>divya.nair76@gmail.com</t>
  </si>
  <si>
    <t>2024-01-13</t>
  </si>
  <si>
    <t>LD0384</t>
  </si>
  <si>
    <t>LD0403</t>
  </si>
  <si>
    <t>93552-15704</t>
  </si>
  <si>
    <t>02-02-2024</t>
  </si>
  <si>
    <t>LD0165</t>
  </si>
  <si>
    <t>03-02-2024</t>
  </si>
  <si>
    <t>LD0259</t>
  </si>
  <si>
    <t>90629-62015</t>
  </si>
  <si>
    <t>priya.mehta71@gmail.com</t>
  </si>
  <si>
    <t>2024-03-10</t>
  </si>
  <si>
    <t>LD0248</t>
  </si>
  <si>
    <t>96149-73103</t>
  </si>
  <si>
    <t>anjali.gupta61@gmail.com</t>
  </si>
  <si>
    <t>2024-01-15</t>
  </si>
  <si>
    <t>LD0012</t>
  </si>
  <si>
    <t>919270477434</t>
  </si>
  <si>
    <t>LD0412</t>
  </si>
  <si>
    <t>919793741608</t>
  </si>
  <si>
    <t>rahul.sharma87@gmail.com</t>
  </si>
  <si>
    <t>03/20/2024</t>
  </si>
  <si>
    <t>LD0014</t>
  </si>
  <si>
    <t>919632945116</t>
  </si>
  <si>
    <t>sneha.joshi36@gmail.com</t>
  </si>
  <si>
    <t>07 Mar 2024</t>
  </si>
  <si>
    <t>LD0491</t>
  </si>
  <si>
    <t>amit.verma5@gmail.com</t>
  </si>
  <si>
    <t>2024-01-23</t>
  </si>
  <si>
    <t>divya.nair96@gmail.com</t>
  </si>
  <si>
    <t>LD0340</t>
  </si>
  <si>
    <t>sneha.joshi4@gmail.com</t>
  </si>
  <si>
    <t>LD0361</t>
  </si>
  <si>
    <t>+919786103579</t>
  </si>
  <si>
    <t>rahul.sharma76@gmail.com</t>
  </si>
  <si>
    <t>LD0450</t>
  </si>
  <si>
    <t>+919333346800</t>
  </si>
  <si>
    <t>karan.patel77@gmail.com</t>
  </si>
  <si>
    <t>LD0268</t>
  </si>
  <si>
    <t>919374896910</t>
  </si>
  <si>
    <t>rohit.singh48@gmail.com</t>
  </si>
  <si>
    <t>2024-03-12</t>
  </si>
  <si>
    <t>LD0216</t>
  </si>
  <si>
    <t>LD0463</t>
  </si>
  <si>
    <t>+919758428241</t>
  </si>
  <si>
    <t>02/03/2024</t>
  </si>
  <si>
    <t>919494717099</t>
  </si>
  <si>
    <t>25-01-2024</t>
  </si>
  <si>
    <t>LD0279</t>
  </si>
  <si>
    <t>9252175250</t>
  </si>
  <si>
    <t>amit.verma22@gmail.com</t>
  </si>
  <si>
    <t>03/14/2024</t>
  </si>
  <si>
    <t>LD0070</t>
  </si>
  <si>
    <t>9008350583</t>
  </si>
  <si>
    <t>rohit.singh32@gmail.com</t>
  </si>
  <si>
    <t>2024-01-29</t>
  </si>
  <si>
    <t>LD0252</t>
  </si>
  <si>
    <t>+91-9789856257</t>
  </si>
  <si>
    <t>21-02-2024</t>
  </si>
  <si>
    <t>LD0200</t>
  </si>
  <si>
    <t>9648909010</t>
  </si>
  <si>
    <t>amit.verma49@gmail.com</t>
  </si>
  <si>
    <t>2024-01-16</t>
  </si>
  <si>
    <t>LD0449</t>
  </si>
  <si>
    <t>+91-9499261891</t>
  </si>
  <si>
    <t>14 Jan 2024</t>
  </si>
  <si>
    <t>LD0348</t>
  </si>
  <si>
    <t>15 Jan 2024</t>
  </si>
  <si>
    <t>LD0180</t>
  </si>
  <si>
    <t>LD0488</t>
  </si>
  <si>
    <t>01/15/2024</t>
  </si>
  <si>
    <t>LD0027</t>
  </si>
  <si>
    <t>9902771670</t>
  </si>
  <si>
    <t>anjali.gupta91@gmail.com</t>
  </si>
  <si>
    <t>03/27/2024</t>
  </si>
  <si>
    <t>LD0239</t>
  </si>
  <si>
    <t>anjali.gupta42@gmail.com</t>
  </si>
  <si>
    <t>2024-01-31</t>
  </si>
  <si>
    <t>22-02-2024</t>
  </si>
  <si>
    <t>LD0423</t>
  </si>
  <si>
    <t>9375899757</t>
  </si>
  <si>
    <t>03/25/2024</t>
  </si>
  <si>
    <t>divya.nair25@gmail.com</t>
  </si>
  <si>
    <t>LD0078</t>
  </si>
  <si>
    <t>03/15/2024</t>
  </si>
  <si>
    <t>LD0140</t>
  </si>
  <si>
    <t>rohit.singh90@gmail.com</t>
  </si>
  <si>
    <t>LD0467</t>
  </si>
  <si>
    <t>14-01-2024</t>
  </si>
  <si>
    <t>LD0215</t>
  </si>
  <si>
    <t>amit.verma50@gmail.com</t>
  </si>
  <si>
    <t>LD0073</t>
  </si>
  <si>
    <t>+919735989334</t>
  </si>
  <si>
    <t>LD0017</t>
  </si>
  <si>
    <t>karan.patel85@gmail.com</t>
  </si>
  <si>
    <t>LD0063</t>
  </si>
  <si>
    <t>sneha.joshi28@gmail.com</t>
  </si>
  <si>
    <t>20 Mar 2024</t>
  </si>
  <si>
    <t>LD0208</t>
  </si>
  <si>
    <t>Sneha Joshi</t>
  </si>
  <si>
    <t>sneha.joshi38@gmail.com</t>
  </si>
  <si>
    <t>03/24/2024</t>
  </si>
  <si>
    <t>LD0090</t>
  </si>
  <si>
    <t>LD0453</t>
  </si>
  <si>
    <t>rohit.singh65@gmail.com</t>
  </si>
  <si>
    <t>2024-01-14</t>
  </si>
  <si>
    <t>LD0476</t>
  </si>
  <si>
    <t>rohit.singh94@gmail.com</t>
  </si>
  <si>
    <t>LD0130</t>
  </si>
  <si>
    <t>91435-36822</t>
  </si>
  <si>
    <t>rahul.sharma25@gmail.com</t>
  </si>
  <si>
    <t>LD0255</t>
  </si>
  <si>
    <t>919397552314</t>
  </si>
  <si>
    <t>LD0439</t>
  </si>
  <si>
    <t>+919533645257</t>
  </si>
  <si>
    <t>divya.nair63@gmail.com</t>
  </si>
  <si>
    <t>LD0176</t>
  </si>
  <si>
    <t>9108099693</t>
  </si>
  <si>
    <t>amit.verma70@gmail.com</t>
  </si>
  <si>
    <t>LD0263</t>
  </si>
  <si>
    <t>2024-03-02</t>
  </si>
  <si>
    <t>LD0193</t>
  </si>
  <si>
    <t>karan.patel36@gmail.com</t>
  </si>
  <si>
    <t>LD0327</t>
  </si>
  <si>
    <t>+919655779082</t>
  </si>
  <si>
    <t>LD0178</t>
  </si>
  <si>
    <t>9777392603</t>
  </si>
  <si>
    <t>03/16/2024</t>
  </si>
  <si>
    <t>LD0003</t>
  </si>
  <si>
    <t>+919699041379</t>
  </si>
  <si>
    <t>02/22/2024</t>
  </si>
  <si>
    <t>LD0019</t>
  </si>
  <si>
    <t>91038-86291</t>
  </si>
  <si>
    <t>anjali.gupta5@gmail.com</t>
  </si>
  <si>
    <t>09-03-2024</t>
  </si>
  <si>
    <t>LD0451</t>
  </si>
  <si>
    <t>rahul.sharma90@gmail.com</t>
  </si>
  <si>
    <t>14-03-2024</t>
  </si>
  <si>
    <t>LD0356</t>
  </si>
  <si>
    <t>+919430098180</t>
  </si>
  <si>
    <t>priya.mehta41@gmail.com</t>
  </si>
  <si>
    <t>2024-02-22</t>
  </si>
  <si>
    <t>LD0077</t>
  </si>
  <si>
    <t>+919368872588</t>
  </si>
  <si>
    <t>rohit.singh45@gmail.com</t>
  </si>
  <si>
    <t>02/20/2024</t>
  </si>
  <si>
    <t>LD0355</t>
  </si>
  <si>
    <t>919890260127</t>
  </si>
  <si>
    <t>LD0245</t>
  </si>
  <si>
    <t>Karen Patel</t>
  </si>
  <si>
    <t>919770384309</t>
  </si>
  <si>
    <t>27-03-2024</t>
  </si>
  <si>
    <t>LD0485</t>
  </si>
  <si>
    <t>919938011848</t>
  </si>
  <si>
    <t>LD0363</t>
  </si>
  <si>
    <t>rohit.singh62@gmail.com</t>
  </si>
  <si>
    <t>LD0246</t>
  </si>
  <si>
    <t>+91-9356588043</t>
  </si>
  <si>
    <t>2024-03-27</t>
  </si>
  <si>
    <t>LD0435</t>
  </si>
  <si>
    <t>divya.nair20@gmail.com</t>
  </si>
  <si>
    <t>LD0191</t>
  </si>
  <si>
    <t>99472-84639</t>
  </si>
  <si>
    <t>24 Feb 2024</t>
  </si>
  <si>
    <t>LD0234</t>
  </si>
  <si>
    <t>anjali.gupta31@gmail.com</t>
  </si>
  <si>
    <t>LD0172</t>
  </si>
  <si>
    <t>919729293143</t>
  </si>
  <si>
    <t>rohit.singh19@gmail.com</t>
  </si>
  <si>
    <t>LD0053</t>
  </si>
  <si>
    <t>+919061203471</t>
  </si>
  <si>
    <t>divya.nair47@gmail.com</t>
  </si>
  <si>
    <t>LD0067</t>
  </si>
  <si>
    <t>919245587716</t>
  </si>
  <si>
    <t>2024-01-22</t>
  </si>
  <si>
    <t>LD0254</t>
  </si>
  <si>
    <t>+919449647598</t>
  </si>
  <si>
    <t>01/03/2024</t>
  </si>
  <si>
    <t>LD0134</t>
  </si>
  <si>
    <t>98006-81149</t>
  </si>
  <si>
    <t>LD0145</t>
  </si>
  <si>
    <t>LD0219</t>
  </si>
  <si>
    <t>919240082547</t>
  </si>
  <si>
    <t>03 Mar 2024</t>
  </si>
  <si>
    <t>LD0169</t>
  </si>
  <si>
    <t>9866326634</t>
  </si>
  <si>
    <t>sneha.joshi98@gmail.com</t>
  </si>
  <si>
    <t>LD0472</t>
  </si>
  <si>
    <t>9974973502</t>
  </si>
  <si>
    <t>LD0212</t>
  </si>
  <si>
    <t>LD0159</t>
  </si>
  <si>
    <t>+919673037183</t>
  </si>
  <si>
    <t>rohit.singh42@gmail.com</t>
  </si>
  <si>
    <t>21-01-2024</t>
  </si>
  <si>
    <t>LD0316</t>
  </si>
  <si>
    <t>9650249163</t>
  </si>
  <si>
    <t>rahul.sharma89@gmail.com</t>
  </si>
  <si>
    <t>LD0258</t>
  </si>
  <si>
    <t>919052812735</t>
  </si>
  <si>
    <t>priya.mehta57@gmail.com</t>
  </si>
  <si>
    <t>LD0323</t>
  </si>
  <si>
    <t>LD0146</t>
  </si>
  <si>
    <t>9109678994</t>
  </si>
  <si>
    <t>amit.verma10@gmail.com</t>
  </si>
  <si>
    <t>LD0308</t>
  </si>
  <si>
    <t>9948014138</t>
  </si>
  <si>
    <t>30 Jan 2024</t>
  </si>
  <si>
    <t>LD0104</t>
  </si>
  <si>
    <t>rohit.singh57@gmail.com</t>
  </si>
  <si>
    <t>LD0061</t>
  </si>
  <si>
    <t>919845776004</t>
  </si>
  <si>
    <t>LD0173</t>
  </si>
  <si>
    <t>98992-10752</t>
  </si>
  <si>
    <t>rahul.sharma32@gmail.com</t>
  </si>
  <si>
    <t>2024-01-30</t>
  </si>
  <si>
    <t>LD0210</t>
  </si>
  <si>
    <t>priya.mehta56@gmail.com</t>
  </si>
  <si>
    <t>LD0367</t>
  </si>
  <si>
    <t>rahul.sharma29@gmail.com</t>
  </si>
  <si>
    <t>LD0018</t>
  </si>
  <si>
    <t>rahul.sharma95@gmail.com</t>
  </si>
  <si>
    <t>03/08/2024</t>
  </si>
  <si>
    <t>LD0411</t>
  </si>
  <si>
    <t>96553-55904</t>
  </si>
  <si>
    <t>divya.nair57@gmail.com</t>
  </si>
  <si>
    <t>LD0021</t>
  </si>
  <si>
    <t>+91-9103924051</t>
  </si>
  <si>
    <t>01/27/2024</t>
  </si>
  <si>
    <t>LD0131</t>
  </si>
  <si>
    <t>+919042043940</t>
  </si>
  <si>
    <t>LD0287</t>
  </si>
  <si>
    <t>919579812387</t>
  </si>
  <si>
    <t>LD0113</t>
  </si>
  <si>
    <t>+91-9404608432</t>
  </si>
  <si>
    <t>divya.nair12@gmail.com</t>
  </si>
  <si>
    <t>02/18/2024</t>
  </si>
  <si>
    <t>LD0334</t>
  </si>
  <si>
    <t>divya.nair41@gmail.com</t>
  </si>
  <si>
    <t>LD0393</t>
  </si>
  <si>
    <t>+91-9423122099</t>
  </si>
  <si>
    <t>divya.nair77@gmail.com</t>
  </si>
  <si>
    <t>01/30/2024</t>
  </si>
  <si>
    <t>+919722330604</t>
  </si>
  <si>
    <t>anjali.gupta26@gmail.com</t>
  </si>
  <si>
    <t>27-01-2024</t>
  </si>
  <si>
    <t>LD0150</t>
  </si>
  <si>
    <t>919096569998</t>
  </si>
  <si>
    <t>divya.nair5@gmail.com</t>
  </si>
  <si>
    <t>07-03-2024</t>
  </si>
  <si>
    <t>LD0013</t>
  </si>
  <si>
    <t>+91-9347644726</t>
  </si>
  <si>
    <t>03/07/2024</t>
  </si>
  <si>
    <t>LD0228</t>
  </si>
  <si>
    <t>priya.mehta12@gmail.com</t>
  </si>
  <si>
    <t>LD0378</t>
  </si>
  <si>
    <t>919892686025</t>
  </si>
  <si>
    <t>anjali.gupta21@gmail.com</t>
  </si>
  <si>
    <t>01/19/2024</t>
  </si>
  <si>
    <t>LD0325</t>
  </si>
  <si>
    <t>03/04/2024</t>
  </si>
  <si>
    <t>LD0354</t>
  </si>
  <si>
    <t>2024-01-05</t>
  </si>
  <si>
    <t>LD0456</t>
  </si>
  <si>
    <t>+91-9982795014</t>
  </si>
  <si>
    <t>amit.verma9@gmail.com</t>
  </si>
  <si>
    <t>LD0189</t>
  </si>
  <si>
    <t>+919901981794</t>
  </si>
  <si>
    <t>divya.nair68@gmail.com</t>
  </si>
  <si>
    <t>2024-03-14</t>
  </si>
  <si>
    <t>LD0487</t>
  </si>
  <si>
    <t>+919301071396</t>
  </si>
  <si>
    <t>02/14/2024</t>
  </si>
  <si>
    <t>LD0015</t>
  </si>
  <si>
    <t>+91-9155699023</t>
  </si>
  <si>
    <t>karan.patel62@gmail.com</t>
  </si>
  <si>
    <t>01-03-2024</t>
  </si>
  <si>
    <t>LD0297</t>
  </si>
  <si>
    <t>divya.nair46@gmail.com</t>
  </si>
  <si>
    <t>01/09/2024</t>
  </si>
  <si>
    <t>LD0076</t>
  </si>
  <si>
    <t>+91-9145046173</t>
  </si>
  <si>
    <t>LD0289</t>
  </si>
  <si>
    <t>LD0040</t>
  </si>
  <si>
    <t>priya.mehta42@gmail.com</t>
  </si>
  <si>
    <t>LD0295</t>
  </si>
  <si>
    <t>+91-9098813858</t>
  </si>
  <si>
    <t>priya.mehta37@gmail.com</t>
  </si>
  <si>
    <t>LD0184</t>
  </si>
  <si>
    <t>anjali.gupta79@gmail.com</t>
  </si>
  <si>
    <t>LD0304</t>
  </si>
  <si>
    <t>+91-9174773329</t>
  </si>
  <si>
    <t>amit.verma90@gmail.com</t>
  </si>
  <si>
    <t>2024-03-26</t>
  </si>
  <si>
    <t>LD0269</t>
  </si>
  <si>
    <t>+91-9459928161</t>
  </si>
  <si>
    <t>LD0292</t>
  </si>
  <si>
    <t>amit.verma63@gmail.com</t>
  </si>
  <si>
    <t>LD0188</t>
  </si>
  <si>
    <t>LD0179</t>
  </si>
  <si>
    <t>divya.nair71@gmail.com</t>
  </si>
  <si>
    <t>07-01-2024</t>
  </si>
  <si>
    <t>LD0429</t>
  </si>
  <si>
    <t>96666-83272</t>
  </si>
  <si>
    <t>sneha.joshi47@gmail.com</t>
  </si>
  <si>
    <t>02/23/2024</t>
  </si>
  <si>
    <t>LD0427</t>
  </si>
  <si>
    <t>+919212679692</t>
  </si>
  <si>
    <t>priya.mehta58@gmail.com</t>
  </si>
  <si>
    <t>LD0489</t>
  </si>
  <si>
    <t>LD0337</t>
  </si>
  <si>
    <t>priya.mehta38@gmail.com</t>
  </si>
  <si>
    <t>02/07/2024</t>
  </si>
  <si>
    <t>LD0201</t>
  </si>
  <si>
    <t>9049047128</t>
  </si>
  <si>
    <t>rahul.sharma17@gmail.com</t>
  </si>
  <si>
    <t>LD0238</t>
  </si>
  <si>
    <t>9524372805</t>
  </si>
  <si>
    <t>amit.verma20@gmail.com</t>
  </si>
  <si>
    <t>LD0495</t>
  </si>
  <si>
    <t>sneha.joshi30@gmail.com</t>
  </si>
  <si>
    <t>LD0357</t>
  </si>
  <si>
    <t>04-01-2024</t>
  </si>
  <si>
    <t>LD0462</t>
  </si>
  <si>
    <t>+91-9921244717</t>
  </si>
  <si>
    <t>priya.mehta86@gmail.com</t>
  </si>
  <si>
    <t>2024-02-11</t>
  </si>
  <si>
    <t>LD0043</t>
  </si>
  <si>
    <t>02/25/2024</t>
  </si>
  <si>
    <t>LD0016</t>
  </si>
  <si>
    <t>+919072006425</t>
  </si>
  <si>
    <t>priya.mehta99@gmail.com</t>
  </si>
  <si>
    <t>LD0404</t>
  </si>
  <si>
    <t>+91-9198554601</t>
  </si>
  <si>
    <t>rahul.sharma11@gmail.com</t>
  </si>
  <si>
    <t>LD0366</t>
  </si>
  <si>
    <t>97173-20309</t>
  </si>
  <si>
    <t>LD0222</t>
  </si>
  <si>
    <t>9613878293</t>
  </si>
  <si>
    <t>19 Jan 2024</t>
  </si>
  <si>
    <t>LD0461</t>
  </si>
  <si>
    <t>26 Jan 2024</t>
  </si>
  <si>
    <t>LD0247</t>
  </si>
  <si>
    <t>90925-11426</t>
  </si>
  <si>
    <t>amit.verma57@gmail.com</t>
  </si>
  <si>
    <t>LD0416</t>
  </si>
  <si>
    <t>rahul.sharma31@gmail.com</t>
  </si>
  <si>
    <t>LD0346</t>
  </si>
  <si>
    <t>+919318195883</t>
  </si>
  <si>
    <t>divya.nair36@gmail.com</t>
  </si>
  <si>
    <t>LD0086</t>
  </si>
  <si>
    <t>03/09/2024</t>
  </si>
  <si>
    <t>LD0301</t>
  </si>
  <si>
    <t>95635-31531</t>
  </si>
  <si>
    <t>priya.mehta49@gmail.com</t>
  </si>
  <si>
    <t>LD0048</t>
  </si>
  <si>
    <t>sneha.joshi15@gmail.com</t>
  </si>
  <si>
    <t>29 Feb 2024</t>
  </si>
  <si>
    <t>LD0008</t>
  </si>
  <si>
    <t>+91-9316873977</t>
  </si>
  <si>
    <t>02/24/2024</t>
  </si>
  <si>
    <t>LD0026</t>
  </si>
  <si>
    <t>98068-67177</t>
  </si>
  <si>
    <t>02 Jan 2024</t>
  </si>
  <si>
    <t>LD0281</t>
  </si>
  <si>
    <t>rahul.sharma81@gmail.com</t>
  </si>
  <si>
    <t>10 Jan 2024</t>
  </si>
  <si>
    <t>LD0227</t>
  </si>
  <si>
    <t>+91-9850165790</t>
  </si>
  <si>
    <t>LD0039</t>
  </si>
  <si>
    <t>+91-9554864015</t>
  </si>
  <si>
    <t>anjali.gupta16@gmail.com</t>
  </si>
  <si>
    <t>LD0483</t>
  </si>
  <si>
    <t>919112412723</t>
  </si>
  <si>
    <t>karan.patel73@gmail.com</t>
  </si>
  <si>
    <t>LD0418</t>
  </si>
  <si>
    <t>92928-42222</t>
  </si>
  <si>
    <t>LD0094</t>
  </si>
  <si>
    <t>+919578284106</t>
  </si>
  <si>
    <t>rahul.sharma41@gmail.com</t>
  </si>
  <si>
    <t>20-01-2024</t>
  </si>
  <si>
    <t>919170281406</t>
  </si>
  <si>
    <t>amit.verma12@gmail.com</t>
  </si>
  <si>
    <t>11-02-2024</t>
  </si>
  <si>
    <t>LD0329</t>
  </si>
  <si>
    <t>9186375998</t>
  </si>
  <si>
    <t>2024-02-24</t>
  </si>
  <si>
    <t>LD0230</t>
  </si>
  <si>
    <t>919767426629</t>
  </si>
  <si>
    <t>LD0290</t>
  </si>
  <si>
    <t>919287923264</t>
  </si>
  <si>
    <t>priya.mehta39@gmail.com</t>
  </si>
  <si>
    <t>2024-03-15</t>
  </si>
  <si>
    <t>LD0494</t>
  </si>
  <si>
    <t>+919146273014</t>
  </si>
  <si>
    <t>16 Feb 2024</t>
  </si>
  <si>
    <t>LD0128</t>
  </si>
  <si>
    <t>+91-9025725204</t>
  </si>
  <si>
    <t>LD0056</t>
  </si>
  <si>
    <t>LD0116</t>
  </si>
  <si>
    <t>9898881671</t>
  </si>
  <si>
    <t>priya.mehta62@gmail.com</t>
  </si>
  <si>
    <t>2024-02-14</t>
  </si>
  <si>
    <t>LD0207</t>
  </si>
  <si>
    <t>+919322342321</t>
  </si>
  <si>
    <t>divya.nair10@gmail.com</t>
  </si>
  <si>
    <t>03 Jan 2024</t>
  </si>
  <si>
    <t>LD0032</t>
  </si>
  <si>
    <t>90140-11939</t>
  </si>
  <si>
    <t>rahul.sharma12@gmail.com</t>
  </si>
  <si>
    <t>2024-01-19</t>
  </si>
  <si>
    <t>LD0051</t>
  </si>
  <si>
    <t>+91-9342801387</t>
  </si>
  <si>
    <t>LD0028</t>
  </si>
  <si>
    <t>LD0395</t>
  </si>
  <si>
    <t>+919317520716</t>
  </si>
  <si>
    <t>LD0211</t>
  </si>
  <si>
    <t>+91-9961367499</t>
  </si>
  <si>
    <t>priya.mehta52@gmail.com</t>
  </si>
  <si>
    <t>15 Feb 2024</t>
  </si>
  <si>
    <t>LD0331</t>
  </si>
  <si>
    <t>919201017026</t>
  </si>
  <si>
    <t>LD0127</t>
  </si>
  <si>
    <t>+919485880061</t>
  </si>
  <si>
    <t>sneha.joshi57@gmail.com</t>
  </si>
  <si>
    <t>28-02-2024</t>
  </si>
  <si>
    <t>919719788977</t>
  </si>
  <si>
    <t>LD0050</t>
  </si>
  <si>
    <t>+91-9255905616</t>
  </si>
  <si>
    <t>divya.nair8@gmail.com</t>
  </si>
  <si>
    <t>+91-9085076986</t>
  </si>
  <si>
    <t>LD0098</t>
  </si>
  <si>
    <t>+919785294563</t>
  </si>
  <si>
    <t>anjali.gupta10@gmail.com</t>
  </si>
  <si>
    <t>LD0209</t>
  </si>
  <si>
    <t>91954-19876</t>
  </si>
  <si>
    <t>2024-02-08</t>
  </si>
  <si>
    <t>LD0294</t>
  </si>
  <si>
    <t>rohit.singh99@gmail.com</t>
  </si>
  <si>
    <t>LD0125</t>
  </si>
  <si>
    <t>93644-24936</t>
  </si>
  <si>
    <t>LD0243</t>
  </si>
  <si>
    <t>2024-01-11</t>
  </si>
  <si>
    <t>LD0293</t>
  </si>
  <si>
    <t>9189847139</t>
  </si>
  <si>
    <t>rohit.singh75@gmail.com</t>
  </si>
  <si>
    <t>02/19/2024</t>
  </si>
  <si>
    <t>LD0068</t>
  </si>
  <si>
    <t>karan.patel19@gmail.com</t>
  </si>
  <si>
    <t>LD0419</t>
  </si>
  <si>
    <t>+919486451837</t>
  </si>
  <si>
    <t>2024-02-20</t>
  </si>
  <si>
    <t>LD0110</t>
  </si>
  <si>
    <t>LD0343</t>
  </si>
  <si>
    <t>919634591123</t>
  </si>
  <si>
    <t>amit.verma84@gmail.com</t>
  </si>
  <si>
    <t>LD0480</t>
  </si>
  <si>
    <t>02/29/2024</t>
  </si>
  <si>
    <t>LD0122</t>
  </si>
  <si>
    <t>92910-86771</t>
  </si>
  <si>
    <t>2024-02-04</t>
  </si>
  <si>
    <t>LD0264</t>
  </si>
  <si>
    <t>92620-44397</t>
  </si>
  <si>
    <t>sneha.joshi59@gmail.com</t>
  </si>
  <si>
    <t>11-01-2024</t>
  </si>
  <si>
    <t>LD0309</t>
  </si>
  <si>
    <t>+91-9411800537</t>
  </si>
  <si>
    <t>sneha.joshi77@gmail.com</t>
  </si>
  <si>
    <t>LD0170</t>
  </si>
  <si>
    <t>9924287572</t>
  </si>
  <si>
    <t>divya.nair19@gmail.com</t>
  </si>
  <si>
    <t>LD0443</t>
  </si>
  <si>
    <t>919948562572</t>
  </si>
  <si>
    <t>karan.patel57@gmail.com</t>
  </si>
  <si>
    <t>LD0035</t>
  </si>
  <si>
    <t>9170758777</t>
  </si>
  <si>
    <t>LD0313</t>
  </si>
  <si>
    <t>12-02-2024</t>
  </si>
  <si>
    <t>LD0031</t>
  </si>
  <si>
    <t>+91-9774905097</t>
  </si>
  <si>
    <t>priya.mehta73@gmail.com</t>
  </si>
  <si>
    <t>01/17/2024</t>
  </si>
  <si>
    <t>LD0466</t>
  </si>
  <si>
    <t>+919642361032</t>
  </si>
  <si>
    <t>priya.mehta97@gmail.com</t>
  </si>
  <si>
    <t>LD0004</t>
  </si>
  <si>
    <t>+919837767499</t>
  </si>
  <si>
    <t>LD0497</t>
  </si>
  <si>
    <t>+91-9788147617</t>
  </si>
  <si>
    <t>LD0315</t>
  </si>
  <si>
    <t>25 Mar 2024</t>
  </si>
  <si>
    <t>LD0445</t>
  </si>
  <si>
    <t>+91-9794523219</t>
  </si>
  <si>
    <t>LD0392</t>
  </si>
  <si>
    <t>97499-56412</t>
  </si>
  <si>
    <t>LD0302</t>
  </si>
  <si>
    <t>93147-27601</t>
  </si>
  <si>
    <t>LD0011</t>
  </si>
  <si>
    <t>+919679984076</t>
  </si>
  <si>
    <t>rohit.singh87@gmail.com</t>
  </si>
  <si>
    <t>LD0174</t>
  </si>
  <si>
    <t>LD0399</t>
  </si>
  <si>
    <t>97293-41722</t>
  </si>
  <si>
    <t>rohit.singh54@gmail.com</t>
  </si>
  <si>
    <t>90156-19318</t>
  </si>
  <si>
    <t>karan.patel46@gmail.com</t>
  </si>
  <si>
    <t>2024-01-06</t>
  </si>
  <si>
    <t>LD0424</t>
  </si>
  <si>
    <t>LD0062</t>
  </si>
  <si>
    <t>+91-9213760375</t>
  </si>
  <si>
    <t>LD0232</t>
  </si>
  <si>
    <t>9678507208</t>
  </si>
  <si>
    <t>10 Feb 2024</t>
  </si>
  <si>
    <t>LD0265</t>
  </si>
  <si>
    <t>919466845504</t>
  </si>
  <si>
    <t>21 Feb 2024</t>
  </si>
  <si>
    <t>LD0225</t>
  </si>
  <si>
    <t>919856288431</t>
  </si>
  <si>
    <t>rohit.singh97@gmail.com</t>
  </si>
  <si>
    <t>03/22/2024</t>
  </si>
  <si>
    <t>LD0493</t>
  </si>
  <si>
    <t>LD0415</t>
  </si>
  <si>
    <t>LD0260</t>
  </si>
  <si>
    <t>+919698864976</t>
  </si>
  <si>
    <t>sneha.joshi94@gmail.com</t>
  </si>
  <si>
    <t>9770285196</t>
  </si>
  <si>
    <t>LD0359</t>
  </si>
  <si>
    <t>9296044327</t>
  </si>
  <si>
    <t>LD0401</t>
  </si>
  <si>
    <t>919818139890</t>
  </si>
  <si>
    <t>priya.mehta65@gmail.com</t>
  </si>
  <si>
    <t>LD0311</t>
  </si>
  <si>
    <t>99569-07056</t>
  </si>
  <si>
    <t>sneha.joshi41@gmail.com</t>
  </si>
  <si>
    <t>LD0448</t>
  </si>
  <si>
    <t>19-02-2024</t>
  </si>
  <si>
    <t>LD0426</t>
  </si>
  <si>
    <t>+91-9937886140</t>
  </si>
  <si>
    <t>04 Jan 2024</t>
  </si>
  <si>
    <t>LD0085</t>
  </si>
  <si>
    <t>919496718325</t>
  </si>
  <si>
    <t>priya.mehta69@gmail.com</t>
  </si>
  <si>
    <t>LD0282</t>
  </si>
  <si>
    <t>9494653984</t>
  </si>
  <si>
    <t>LD0244</t>
  </si>
  <si>
    <t>919547435537</t>
  </si>
  <si>
    <t>karan.patel18@gmail.com</t>
  </si>
  <si>
    <t>23-03-2024</t>
  </si>
  <si>
    <t>LD0338</t>
  </si>
  <si>
    <t>rohit.singh50@gmail.com</t>
  </si>
  <si>
    <t>LD0066</t>
  </si>
  <si>
    <t>+91-9319433750</t>
  </si>
  <si>
    <t>sneha.joshi78@gmail.com</t>
  </si>
  <si>
    <t>LD0065</t>
  </si>
  <si>
    <t>919992192124</t>
  </si>
  <si>
    <t>anjali.gupta94@gmail.com</t>
  </si>
  <si>
    <t>LD0273</t>
  </si>
  <si>
    <t>919566418775</t>
  </si>
  <si>
    <t>anjali.gupta29@gmail.com</t>
  </si>
  <si>
    <t>LD0492</t>
  </si>
  <si>
    <t>9036133254</t>
  </si>
  <si>
    <t>02 Mar 2024</t>
  </si>
  <si>
    <t>LD0249</t>
  </si>
  <si>
    <t>919583199717</t>
  </si>
  <si>
    <t>08-01-2024</t>
  </si>
  <si>
    <t>LD0044</t>
  </si>
  <si>
    <t>9611080466</t>
  </si>
  <si>
    <t>rahul.sharma77@gmail.com</t>
  </si>
  <si>
    <t>25-03-2024</t>
  </si>
  <si>
    <t>LD0486</t>
  </si>
  <si>
    <t>93110-91939</t>
  </si>
  <si>
    <t>divya.nair54@gmail.com</t>
  </si>
  <si>
    <t>LD0436</t>
  </si>
  <si>
    <t>+91-9498227495</t>
  </si>
  <si>
    <t>LD0124</t>
  </si>
  <si>
    <t>919537795995</t>
  </si>
  <si>
    <t>sneha.joshi14@gmail.com</t>
  </si>
  <si>
    <t>LD0030</t>
  </si>
  <si>
    <t>+91-9563620501</t>
  </si>
  <si>
    <t>LD0123</t>
  </si>
  <si>
    <t>9258323024</t>
  </si>
  <si>
    <t>LD0158</t>
  </si>
  <si>
    <t>92896-11223</t>
  </si>
  <si>
    <t>karan.patel41@gmail.com</t>
  </si>
  <si>
    <t>17 Mar 2024</t>
  </si>
  <si>
    <t>LD0414</t>
  </si>
  <si>
    <t>92897-31791</t>
  </si>
  <si>
    <t>karan.patel83@gmail.com</t>
  </si>
  <si>
    <t>2024-03-06</t>
  </si>
  <si>
    <t>LD0381</t>
  </si>
  <si>
    <t>+91-9903337363</t>
  </si>
  <si>
    <t>LD0010</t>
  </si>
  <si>
    <t>+91-9956776657</t>
  </si>
  <si>
    <t>02/26/2024</t>
  </si>
  <si>
    <t>LD0251</t>
  </si>
  <si>
    <t>+91-9150835354</t>
  </si>
  <si>
    <t>01/25/2024</t>
  </si>
  <si>
    <t>LD0166</t>
  </si>
  <si>
    <t>90782-63337</t>
  </si>
  <si>
    <t>divya.nair97@gmail.com</t>
  </si>
  <si>
    <t>LD0307</t>
  </si>
  <si>
    <t>+91-9052924075</t>
  </si>
  <si>
    <t>2024-02-21</t>
  </si>
  <si>
    <t>LD0001</t>
  </si>
  <si>
    <t>LD0272</t>
  </si>
  <si>
    <t>9334817058</t>
  </si>
  <si>
    <t>sneha.joshi53@gmail.com</t>
  </si>
  <si>
    <t>LD0277</t>
  </si>
  <si>
    <t>LD0083</t>
  </si>
  <si>
    <t>94754-69263</t>
  </si>
  <si>
    <t>LD0192</t>
  </si>
  <si>
    <t>+919768151185</t>
  </si>
  <si>
    <t>karan.patel65@gmail.com</t>
  </si>
  <si>
    <t>06 Jan 2024</t>
  </si>
  <si>
    <t>LD0405</t>
  </si>
  <si>
    <t>+919600412577</t>
  </si>
  <si>
    <t>03/11/2024</t>
  </si>
  <si>
    <t>LD0102</t>
  </si>
  <si>
    <t>+91-9186210427</t>
  </si>
  <si>
    <t>amit.verma87@gmail.com</t>
  </si>
  <si>
    <t>LD0465</t>
  </si>
  <si>
    <t>9335331060</t>
  </si>
  <si>
    <t>26-03-2024</t>
  </si>
  <si>
    <t>LD0375</t>
  </si>
  <si>
    <t>95839-38661</t>
  </si>
  <si>
    <t>amit.verma23@gmail.com</t>
  </si>
  <si>
    <t>LD0455</t>
  </si>
  <si>
    <t>sneha.joshi73@gmail.com</t>
  </si>
  <si>
    <t>LD0153</t>
  </si>
  <si>
    <t>divya.nair91@gmail.com</t>
  </si>
  <si>
    <t>LD0321</t>
  </si>
  <si>
    <t>rohit.singh95@gmail.com</t>
  </si>
  <si>
    <t>02/12/2024</t>
  </si>
  <si>
    <t>LD0055</t>
  </si>
  <si>
    <t>919533803396</t>
  </si>
  <si>
    <t>09 Jan 2024</t>
  </si>
  <si>
    <t>LD0092</t>
  </si>
  <si>
    <t>+919768962706</t>
  </si>
  <si>
    <t>LD0257</t>
  </si>
  <si>
    <t>karan.patel54@gmail.com</t>
  </si>
  <si>
    <t>LD0420</t>
  </si>
  <si>
    <t>priya.mehta47@gmail.com</t>
  </si>
  <si>
    <t>21-03-2024</t>
  </si>
  <si>
    <t>LD0369</t>
  </si>
  <si>
    <t>+919011669183</t>
  </si>
  <si>
    <t>karan.patel89@gmail.com</t>
  </si>
  <si>
    <t>LD0389</t>
  </si>
  <si>
    <t>+919402701168</t>
  </si>
  <si>
    <t>LD0002</t>
  </si>
  <si>
    <t>11 Jan 2024</t>
  </si>
  <si>
    <t>LD0479</t>
  </si>
  <si>
    <t>+919040901380</t>
  </si>
  <si>
    <t>anjali.gupta98@gmail.com</t>
  </si>
  <si>
    <t>LD0081</t>
  </si>
  <si>
    <t>divya.nair4@gmail.com</t>
  </si>
  <si>
    <t>18-03-2024</t>
  </si>
  <si>
    <t>LD0223</t>
  </si>
  <si>
    <t>LD0059</t>
  </si>
  <si>
    <t>9027148727</t>
  </si>
  <si>
    <t>01/28/2024</t>
  </si>
  <si>
    <t>LD0058</t>
  </si>
  <si>
    <t>9128715399</t>
  </si>
  <si>
    <t>rohit.singh92@gmail.com</t>
  </si>
  <si>
    <t>LD0175</t>
  </si>
  <si>
    <t>9195256904</t>
  </si>
  <si>
    <t>95243-77294</t>
  </si>
  <si>
    <t>priya.mehta90@gmail.com</t>
  </si>
  <si>
    <t>LD0470</t>
  </si>
  <si>
    <t>11 Mar 2024</t>
  </si>
  <si>
    <t>LD0385</t>
  </si>
  <si>
    <t>+919386125904</t>
  </si>
  <si>
    <t>9266201572</t>
  </si>
  <si>
    <t>LD0468</t>
  </si>
  <si>
    <t>9261764750</t>
  </si>
  <si>
    <t>97649-21518</t>
  </si>
  <si>
    <t>karan.patel51@gmail.com</t>
  </si>
  <si>
    <t>12 Mar 2024</t>
  </si>
  <si>
    <t>LD0370</t>
  </si>
  <si>
    <t>05-01-2024</t>
  </si>
  <si>
    <t>LD0402</t>
  </si>
  <si>
    <t>919487297585</t>
  </si>
  <si>
    <t>rohit.singh13@gmail.com</t>
  </si>
  <si>
    <t>LD0006</t>
  </si>
  <si>
    <t>+919542961844</t>
  </si>
  <si>
    <t>LD0284</t>
  </si>
  <si>
    <t>+919598926256</t>
  </si>
  <si>
    <t>LD0129</t>
  </si>
  <si>
    <t>+919542340163</t>
  </si>
  <si>
    <t>rohit.singh16@gmail.com</t>
  </si>
  <si>
    <t>+919256258896</t>
  </si>
  <si>
    <t>karan.patel88@gmail.com</t>
  </si>
  <si>
    <t>03/06/2024</t>
  </si>
  <si>
    <t>LD0240</t>
  </si>
  <si>
    <t>+91-9757844683</t>
  </si>
  <si>
    <t>LD0400</t>
  </si>
  <si>
    <t>LD0196</t>
  </si>
  <si>
    <t>+91-9909728321</t>
  </si>
  <si>
    <t>divya.nair7@gmail.com</t>
  </si>
  <si>
    <t>LD0198</t>
  </si>
  <si>
    <t>919309634807</t>
  </si>
  <si>
    <t>01 Jan 2024</t>
  </si>
  <si>
    <t>LD0033</t>
  </si>
  <si>
    <t>9731882617</t>
  </si>
  <si>
    <t>amit.verma29@gmail.com</t>
  </si>
  <si>
    <t>01 Mar 2024</t>
  </si>
  <si>
    <t>LD0306</t>
  </si>
  <si>
    <t>+91-9225605313</t>
  </si>
  <si>
    <t>20 Feb 2024</t>
  </si>
  <si>
    <t>LD0217</t>
  </si>
  <si>
    <t>9872568621</t>
  </si>
  <si>
    <t>94471-63928</t>
  </si>
  <si>
    <t>rohit.singh34@gmail.com</t>
  </si>
  <si>
    <t>03/30/2024</t>
  </si>
  <si>
    <t>LD0082</t>
  </si>
  <si>
    <t>9312604326</t>
  </si>
  <si>
    <t>07 Jan 2024</t>
  </si>
  <si>
    <t>LD0500</t>
  </si>
  <si>
    <t>+91-9041454563</t>
  </si>
  <si>
    <t>01-01-2024</t>
  </si>
  <si>
    <t>LD0079</t>
  </si>
  <si>
    <t>rohit.singh76@gmail.com</t>
  </si>
  <si>
    <t>LD0057</t>
  </si>
  <si>
    <t>919109337118</t>
  </si>
  <si>
    <t>priya.mehta98@gmail.com</t>
  </si>
  <si>
    <t>LD0025</t>
  </si>
  <si>
    <t>+91-9617688029</t>
  </si>
  <si>
    <t>LD0387</t>
  </si>
  <si>
    <t>919866943202</t>
  </si>
  <si>
    <t>priya.mehta66@gmail.com</t>
  </si>
  <si>
    <t>LD0047</t>
  </si>
  <si>
    <t>919402424033</t>
  </si>
  <si>
    <t>2024-03-24</t>
  </si>
  <si>
    <t>LD0253</t>
  </si>
  <si>
    <t>rohit.singh84@gmail.com</t>
  </si>
  <si>
    <t>02/02/2024</t>
  </si>
  <si>
    <t>LD0261</t>
  </si>
  <si>
    <t>95271-72722</t>
  </si>
  <si>
    <t>LD0071</t>
  </si>
  <si>
    <t>+919761820916</t>
  </si>
  <si>
    <t>02-01-2024</t>
  </si>
  <si>
    <t>LD0452</t>
  </si>
  <si>
    <t>+91-9513279724</t>
  </si>
  <si>
    <t>rahul.sharma70@gmail.com</t>
  </si>
  <si>
    <t>2024-03-29</t>
  </si>
  <si>
    <t>LD0496</t>
  </si>
  <si>
    <t>LD0205</t>
  </si>
  <si>
    <t>+91-9151092268</t>
  </si>
  <si>
    <t>karan.patel20@gmail.com</t>
  </si>
  <si>
    <t>LD0299</t>
  </si>
  <si>
    <t>9022526771</t>
  </si>
  <si>
    <t>LD0220</t>
  </si>
  <si>
    <t>919952366878</t>
  </si>
  <si>
    <t>divya.nair30@gmail.com</t>
  </si>
  <si>
    <t>LD0300</t>
  </si>
  <si>
    <t>+91-9587210552</t>
  </si>
  <si>
    <t>sneha.joshi71@gmail.com</t>
  </si>
  <si>
    <t>LD0383</t>
  </si>
  <si>
    <t>95019-17920</t>
  </si>
  <si>
    <t>10-01-2024</t>
  </si>
  <si>
    <t>LD0135</t>
  </si>
  <si>
    <t>90412-00928</t>
  </si>
  <si>
    <t>LD0276</t>
  </si>
  <si>
    <t>rohit.singh10@gmail.com</t>
  </si>
  <si>
    <t>29 Mar 2024</t>
  </si>
  <si>
    <t>LD0288</t>
  </si>
  <si>
    <t>93411-15950</t>
  </si>
  <si>
    <t>28-01-2024</t>
  </si>
  <si>
    <t>LD0382</t>
  </si>
  <si>
    <t>9909700514</t>
  </si>
  <si>
    <t>sneha.joshi51@gmail.com</t>
  </si>
  <si>
    <t>98209-67904</t>
  </si>
  <si>
    <t>LD0072</t>
  </si>
  <si>
    <t>9596063399</t>
  </si>
  <si>
    <t>divya.nair64@gmail.com</t>
  </si>
  <si>
    <t>13-01-2024</t>
  </si>
  <si>
    <t>LD0136</t>
  </si>
  <si>
    <t>LD0074</t>
  </si>
  <si>
    <t>+919758955168</t>
  </si>
  <si>
    <t>LD0235</t>
  </si>
  <si>
    <t>9367157787</t>
  </si>
  <si>
    <t>LD0330</t>
  </si>
  <si>
    <t>+91-9147082723</t>
  </si>
  <si>
    <t>divya.nair49@gmail.com</t>
  </si>
  <si>
    <t>2024-01-08</t>
  </si>
  <si>
    <t>LD0203</t>
  </si>
  <si>
    <t>919121461476</t>
  </si>
  <si>
    <t>LD0256</t>
  </si>
  <si>
    <t>LD0336</t>
  </si>
  <si>
    <t>94807-27910</t>
  </si>
  <si>
    <t>LD0437</t>
  </si>
  <si>
    <t>+919817766558</t>
  </si>
  <si>
    <t>divya.nair15@gmail.com</t>
  </si>
  <si>
    <t>23 Jan 2024</t>
  </si>
  <si>
    <t>LD0441</t>
  </si>
  <si>
    <t>9491111096</t>
  </si>
  <si>
    <t>rohit.singh70@gmail.com</t>
  </si>
  <si>
    <t>13 Jan 2024</t>
  </si>
  <si>
    <t>+91-9157660538</t>
  </si>
  <si>
    <t>anjali.gupta40@gmail.com</t>
  </si>
  <si>
    <t>LD0291</t>
  </si>
  <si>
    <t>99552-96386</t>
  </si>
  <si>
    <t>rahul.sharma7@gmail.com</t>
  </si>
  <si>
    <t>14 Mar 2024</t>
  </si>
  <si>
    <t>LD0109</t>
  </si>
  <si>
    <t>+91-9128196482</t>
  </si>
  <si>
    <t>LD0034</t>
  </si>
  <si>
    <t>LD0138</t>
  </si>
  <si>
    <t>LD0206</t>
  </si>
  <si>
    <t>+91-9240299015</t>
  </si>
  <si>
    <t>01/01/2024</t>
  </si>
  <si>
    <t>LD0162</t>
  </si>
  <si>
    <t>+91-9513052312</t>
  </si>
  <si>
    <t>2024-01-12</t>
  </si>
  <si>
    <t>LD0413</t>
  </si>
  <si>
    <t>+919619942376</t>
  </si>
  <si>
    <t>rohit.singh41@gmail.com</t>
  </si>
  <si>
    <t>99649-85601</t>
  </si>
  <si>
    <t>anjali.gupta24@gmail.com</t>
  </si>
  <si>
    <t>02/15/2024</t>
  </si>
  <si>
    <t>LD0421</t>
  </si>
  <si>
    <t>+91-9537953816</t>
  </si>
  <si>
    <t>divya.nair14@gmail.com</t>
  </si>
  <si>
    <t>LD0118</t>
  </si>
  <si>
    <t>+91-9704611729</t>
  </si>
  <si>
    <t>divya.nair3@gmail.com</t>
  </si>
  <si>
    <t>06-02-2024</t>
  </si>
  <si>
    <t>LD0029</t>
  </si>
  <si>
    <t>+919017164455</t>
  </si>
  <si>
    <t>LD0398</t>
  </si>
  <si>
    <t>divya.nair69@gmail.com</t>
  </si>
  <si>
    <t>LD0394</t>
  </si>
  <si>
    <t>15 Mar 2024</t>
  </si>
  <si>
    <t>LD0432</t>
  </si>
  <si>
    <t>LD0167</t>
  </si>
  <si>
    <t>99885-47281</t>
  </si>
  <si>
    <t>rohit.singh58@gmail.com</t>
  </si>
  <si>
    <t>LD0351</t>
  </si>
  <si>
    <t>karan.patel16@gmail.com</t>
  </si>
  <si>
    <t>95106-63436</t>
  </si>
  <si>
    <t>rohit.singh64@gmail.com</t>
  </si>
  <si>
    <t>LD0286</t>
  </si>
  <si>
    <t>+919318143966</t>
  </si>
  <si>
    <t>+91-9974325122</t>
  </si>
  <si>
    <t>LD0328</t>
  </si>
  <si>
    <t>amit.verma97@gmail.com</t>
  </si>
  <si>
    <t>LD0139</t>
  </si>
  <si>
    <t>+91-9705458971</t>
  </si>
  <si>
    <t>LD0481</t>
  </si>
  <si>
    <t>919531361487</t>
  </si>
  <si>
    <t>rahul.sharma45@gmail.com</t>
  </si>
  <si>
    <t>12 Feb 2024</t>
  </si>
  <si>
    <t>LD0237</t>
  </si>
  <si>
    <t>03/28/2024</t>
  </si>
  <si>
    <t>LD0475</t>
  </si>
  <si>
    <t>+919034910740</t>
  </si>
  <si>
    <t>LD0126</t>
  </si>
  <si>
    <t>+91-9307536661</t>
  </si>
  <si>
    <t>13 Mar 2024</t>
  </si>
  <si>
    <t>9414978266</t>
  </si>
  <si>
    <t>LD0274</t>
  </si>
  <si>
    <t>+91-9061294398</t>
  </si>
  <si>
    <t>LD0088</t>
  </si>
  <si>
    <t>rahul.sharma43@gmail.com</t>
  </si>
  <si>
    <t>LD0478</t>
  </si>
  <si>
    <t>94407-93110</t>
  </si>
  <si>
    <t>01/13/2024</t>
  </si>
  <si>
    <t>LD0312</t>
  </si>
  <si>
    <t>LD0037</t>
  </si>
  <si>
    <t>LD0332</t>
  </si>
  <si>
    <t>+91-9774025883</t>
  </si>
  <si>
    <t>anjali.gupta66@gmail.com</t>
  </si>
  <si>
    <t>LD0350</t>
  </si>
  <si>
    <t>karan.patel45@gmail.com</t>
  </si>
  <si>
    <t>LD0360</t>
  </si>
  <si>
    <t>919533126610</t>
  </si>
  <si>
    <t>LD0137</t>
  </si>
  <si>
    <t>priya.mehta25@gmail.com</t>
  </si>
  <si>
    <t>12-01-2024</t>
  </si>
  <si>
    <t>LD0344</t>
  </si>
  <si>
    <t>+91-9287339785</t>
  </si>
  <si>
    <t>rohit.singh18@gmail.com</t>
  </si>
  <si>
    <t>LD0108</t>
  </si>
  <si>
    <t>+919309850344</t>
  </si>
  <si>
    <t>2024-01-21</t>
  </si>
  <si>
    <t>LD0182</t>
  </si>
  <si>
    <t>+91-9974005643</t>
  </si>
  <si>
    <t>LD0190</t>
  </si>
  <si>
    <t>919187240107</t>
  </si>
  <si>
    <t>divya.nair62@gmail.com</t>
  </si>
  <si>
    <t>02/08/2024</t>
  </si>
  <si>
    <t>LD0084</t>
  </si>
  <si>
    <t>919626682171</t>
  </si>
  <si>
    <t>rohit.singh25@gmail.com</t>
  </si>
  <si>
    <t>13 Feb 2024</t>
  </si>
  <si>
    <t>LD0187</t>
  </si>
  <si>
    <t>99003-01027</t>
  </si>
  <si>
    <t>LD0428</t>
  </si>
  <si>
    <t>919753745843</t>
  </si>
  <si>
    <t>priya.mehta70@gmail.com</t>
  </si>
  <si>
    <t>05-03-2024</t>
  </si>
  <si>
    <t>LD0326</t>
  </si>
  <si>
    <t>karan.patel15@gmail.com</t>
  </si>
  <si>
    <t>LD0233</t>
  </si>
  <si>
    <t>LD0143</t>
  </si>
  <si>
    <t>+919660186487</t>
  </si>
  <si>
    <t>sneha.joshi67@gmail.com</t>
  </si>
  <si>
    <t>LD0195</t>
  </si>
  <si>
    <t>+91-9845960945</t>
  </si>
  <si>
    <t>LD0052</t>
  </si>
  <si>
    <t>9705783609</t>
  </si>
  <si>
    <t>LD0444</t>
  </si>
  <si>
    <t>9031028795</t>
  </si>
  <si>
    <t>amit.verma92@gmail.com</t>
  </si>
  <si>
    <t>2024-02-03</t>
  </si>
  <si>
    <t>LD0120</t>
  </si>
  <si>
    <t>LD0438</t>
  </si>
  <si>
    <t>9490250429</t>
  </si>
  <si>
    <t>amit.verma78@gmail.com</t>
  </si>
  <si>
    <t>LD0149</t>
  </si>
  <si>
    <t>+91-9376515881</t>
  </si>
  <si>
    <t>sneha.joshi58@gmail.com</t>
  </si>
  <si>
    <t>LD0396</t>
  </si>
  <si>
    <t>24 Jan 2024</t>
  </si>
  <si>
    <t>LD0117</t>
  </si>
  <si>
    <t>90212-88665</t>
  </si>
  <si>
    <t>anjali.gupta92@gmail.com</t>
  </si>
  <si>
    <t>07-02-2024</t>
  </si>
  <si>
    <t>LD0339</t>
  </si>
  <si>
    <t>9676472298</t>
  </si>
  <si>
    <t>2024-03-16</t>
  </si>
  <si>
    <t>LD0024</t>
  </si>
  <si>
    <t>+919098898645</t>
  </si>
  <si>
    <t>LD0036</t>
  </si>
  <si>
    <t>94773-24491</t>
  </si>
  <si>
    <t>+91-9534967827</t>
  </si>
  <si>
    <t>sneha.joshi16@gmail.com</t>
  </si>
  <si>
    <t>26 Feb 2024</t>
  </si>
  <si>
    <t>LD0099</t>
  </si>
  <si>
    <t>9528547815</t>
  </si>
  <si>
    <t>divya.nair67@gmail.com</t>
  </si>
  <si>
    <t>LD0296</t>
  </si>
  <si>
    <t>rohit.singh56@gmail.com</t>
  </si>
  <si>
    <t>LD0186</t>
  </si>
  <si>
    <t>+91-9824347769</t>
  </si>
  <si>
    <t>LD0442</t>
  </si>
  <si>
    <t>+91-9562779630</t>
  </si>
  <si>
    <t>priya.mehta53@gmail.com</t>
  </si>
  <si>
    <t>LD0454</t>
  </si>
  <si>
    <t>97350-47639</t>
  </si>
  <si>
    <t>rohit.singh15@gmail.com</t>
  </si>
  <si>
    <t>LD0317</t>
  </si>
  <si>
    <t>rohit.singh30@gmail.com</t>
  </si>
  <si>
    <t>LD0322</t>
  </si>
  <si>
    <t>91867-02440</t>
  </si>
  <si>
    <t>rahul.sharma5@gmail.com</t>
  </si>
  <si>
    <t>04-02-2024</t>
  </si>
  <si>
    <t>Notes</t>
  </si>
  <si>
    <t>████</t>
  </si>
  <si>
    <t>█████</t>
  </si>
  <si>
    <t>📉</t>
  </si>
  <si>
    <t>37.3%</t>
  </si>
  <si>
    <t>Mar 2024</t>
  </si>
  <si>
    <t>██████</t>
  </si>
  <si>
    <t>40.3%</t>
  </si>
  <si>
    <t>Feb 2024</t>
  </si>
  <si>
    <t>📈</t>
  </si>
  <si>
    <t>35.7%</t>
  </si>
  <si>
    <t>Jan 2024</t>
  </si>
  <si>
    <t>███████</t>
  </si>
  <si>
    <t>Trend</t>
  </si>
  <si>
    <t>Conv %</t>
  </si>
  <si>
    <t>Total</t>
  </si>
  <si>
    <t>Month</t>
  </si>
  <si>
    <t>Bar</t>
  </si>
  <si>
    <t>Share %</t>
  </si>
  <si>
    <t>Leads</t>
  </si>
  <si>
    <t>MONTHLY LEAD TREND</t>
  </si>
  <si>
    <t>LEADS BY CITY</t>
  </si>
  <si>
    <t>#12</t>
  </si>
  <si>
    <t>#11</t>
  </si>
  <si>
    <t>#10</t>
  </si>
  <si>
    <t>#9</t>
  </si>
  <si>
    <t>#8</t>
  </si>
  <si>
    <t>#7</t>
  </si>
  <si>
    <t>#6</t>
  </si>
  <si>
    <t>#5</t>
  </si>
  <si>
    <t>#4</t>
  </si>
  <si>
    <t>#3</t>
  </si>
  <si>
    <t>#2</t>
  </si>
  <si>
    <t>#1</t>
  </si>
  <si>
    <t>Rank</t>
  </si>
  <si>
    <t>AGENT PERFORMANCE OVERVIEW</t>
  </si>
  <si>
    <t>███</t>
  </si>
  <si>
    <t>Closed - lost</t>
  </si>
  <si>
    <t>Follow-up needed</t>
  </si>
  <si>
    <t>Dropped</t>
  </si>
  <si>
    <t>Active pipeline</t>
  </si>
  <si>
    <t>Unknown</t>
  </si>
  <si>
    <t>Closed deals</t>
  </si>
  <si>
    <t>Count</t>
  </si>
  <si>
    <t>Source</t>
  </si>
  <si>
    <t>Visual Bar</t>
  </si>
  <si>
    <t>LEADS BY SOURCE</t>
  </si>
  <si>
    <t>LEAD STATUS BREAKDOWN</t>
  </si>
  <si>
    <t>LOST / NOT INT.</t>
  </si>
  <si>
    <t>OPEN / CALLBACK</t>
  </si>
  <si>
    <t>CONV. RATE</t>
  </si>
  <si>
    <t>TOTAL LEADS</t>
  </si>
  <si>
    <t>Real Estate CRM · 500 Total Leads · Jan–Dec 2024</t>
  </si>
  <si>
    <t>📊  LEAD MANAGEMENT SUMMARY REPORT — 2024</t>
  </si>
  <si>
    <t>04-Feb-2024</t>
  </si>
  <si>
    <t>02-Jul-2024</t>
  </si>
  <si>
    <t>19-Mar-2024</t>
  </si>
  <si>
    <t>08-Jan-2024</t>
  </si>
  <si>
    <t>15-Jan-2024</t>
  </si>
  <si>
    <t>09-Jan-2024</t>
  </si>
  <si>
    <t>02-Oct-2024</t>
  </si>
  <si>
    <t>26-Feb-2024</t>
  </si>
  <si>
    <t>27-Jan-2024</t>
  </si>
  <si>
    <t>19-Jan-2024</t>
  </si>
  <si>
    <t>16-Mar-2024</t>
  </si>
  <si>
    <t>07-Feb-2024</t>
  </si>
  <si>
    <t>24-Jan-2024</t>
  </si>
  <si>
    <t>23-Feb-2024</t>
  </si>
  <si>
    <t>01-Mar-2024</t>
  </si>
  <si>
    <t>28-Jan-2024</t>
  </si>
  <si>
    <t>24-Feb-2024</t>
  </si>
  <si>
    <t>03-Feb-2024</t>
  </si>
  <si>
    <t>18-Mar-2024</t>
  </si>
  <si>
    <t>02-Mar-2024</t>
  </si>
  <si>
    <t>09-Feb-2024</t>
  </si>
  <si>
    <t>03-Jan-2024</t>
  </si>
  <si>
    <t>05-Mar-2024</t>
  </si>
  <si>
    <t>24-Mar-2024</t>
  </si>
  <si>
    <t>13-Feb-2024</t>
  </si>
  <si>
    <t>02-Aug-2024</t>
  </si>
  <si>
    <t>21-Jan-2024</t>
  </si>
  <si>
    <t>12-Jan-2024</t>
  </si>
  <si>
    <t>10-Jan-2024</t>
  </si>
  <si>
    <t>15-Mar-2024</t>
  </si>
  <si>
    <t>01-Sep-2024</t>
  </si>
  <si>
    <t>28-Feb-2024</t>
  </si>
  <si>
    <t>13-Jan-2024</t>
  </si>
  <si>
    <t>10-Mar-2024</t>
  </si>
  <si>
    <t>13-Mar-2024</t>
  </si>
  <si>
    <t>02-Feb-2024</t>
  </si>
  <si>
    <t>28-Mar-2024</t>
  </si>
  <si>
    <t>12-Feb-2024</t>
  </si>
  <si>
    <t>02-Jan-2024</t>
  </si>
  <si>
    <t>29-Mar-2024</t>
  </si>
  <si>
    <t>07-Mar-2024</t>
  </si>
  <si>
    <t>11-Mar-2024</t>
  </si>
  <si>
    <t>20-Mar-2024</t>
  </si>
  <si>
    <t>04-Mar-2024</t>
  </si>
  <si>
    <t>01-Jan-2024</t>
  </si>
  <si>
    <t>10-Feb-2024</t>
  </si>
  <si>
    <t>06-Feb-2024</t>
  </si>
  <si>
    <t>12-Mar-2024</t>
  </si>
  <si>
    <t>15-Feb-2024</t>
  </si>
  <si>
    <t>25-Feb-2024</t>
  </si>
  <si>
    <t>14-Mar-2024</t>
  </si>
  <si>
    <t>23-Jan-2024</t>
  </si>
  <si>
    <t>30-Mar-2024</t>
  </si>
  <si>
    <t>26-Mar-2024</t>
  </si>
  <si>
    <t>07-Jan-2024</t>
  </si>
  <si>
    <t>14-Jan-2024</t>
  </si>
  <si>
    <t>06-Jan-2024</t>
  </si>
  <si>
    <t>01-Dec-2024</t>
  </si>
  <si>
    <t>03-May-2024</t>
  </si>
  <si>
    <t>19-Feb-2024</t>
  </si>
  <si>
    <t>23-Mar-2024</t>
  </si>
  <si>
    <t>26-Jan-2024</t>
  </si>
  <si>
    <t>08-Mar-2024</t>
  </si>
  <si>
    <t>14-Feb-2024</t>
  </si>
  <si>
    <t>20-Feb-2024</t>
  </si>
  <si>
    <t>16-Jan-2024</t>
  </si>
  <si>
    <t>03-Jun-2024</t>
  </si>
  <si>
    <t>25-Mar-2024</t>
  </si>
  <si>
    <t>05-Jan-2024</t>
  </si>
  <si>
    <t>06-Mar-2024</t>
  </si>
  <si>
    <t>18-Feb-2024</t>
  </si>
  <si>
    <t>11-Jan-2024</t>
  </si>
  <si>
    <t>08-Feb-2024</t>
  </si>
  <si>
    <t>21-Mar-2024</t>
  </si>
  <si>
    <t>17-Mar-2024</t>
  </si>
  <si>
    <t>01-Feb-2024</t>
  </si>
  <si>
    <t>02-Dec-2024</t>
  </si>
  <si>
    <t>22-Jan-2024</t>
  </si>
  <si>
    <t>03-Sep-2024</t>
  </si>
  <si>
    <t>03-Nov-2024</t>
  </si>
  <si>
    <t>21-Feb-2024</t>
  </si>
  <si>
    <t>29-Feb-2024</t>
  </si>
  <si>
    <t>25-Jan-2024</t>
  </si>
  <si>
    <t>17-Feb-2024</t>
  </si>
  <si>
    <t>27-Mar-2024</t>
  </si>
  <si>
    <t>02-May-2024</t>
  </si>
  <si>
    <t>04-Jan-2024</t>
  </si>
  <si>
    <t>30-Jan-2024</t>
  </si>
  <si>
    <t>22-Mar-2024</t>
  </si>
  <si>
    <t>03-Mar-2024</t>
  </si>
  <si>
    <t>09-Mar-2024</t>
  </si>
  <si>
    <t>17-Jan-2024</t>
  </si>
  <si>
    <t>01-Jul-2024</t>
  </si>
  <si>
    <t>16-Feb-2024</t>
  </si>
  <si>
    <t>11-Feb-2024</t>
  </si>
  <si>
    <t>18-Jan-2024</t>
  </si>
  <si>
    <t>20-Jan-2024</t>
  </si>
  <si>
    <t>29-Jan-2024</t>
  </si>
  <si>
    <t>03-Apr-2024</t>
  </si>
  <si>
    <t>03-Jul-2024</t>
  </si>
  <si>
    <t>03-Aug-2024</t>
  </si>
  <si>
    <t>22-Feb-2024</t>
  </si>
  <si>
    <t>31-Jan-2024</t>
  </si>
  <si>
    <t>05-Feb-2024</t>
  </si>
  <si>
    <t>02-Jun-2024</t>
  </si>
  <si>
    <t>27-Feb-2024</t>
  </si>
  <si>
    <t>Row Labels</t>
  </si>
  <si>
    <t>Grand Total</t>
  </si>
  <si>
    <t>Count of Lead Source</t>
  </si>
  <si>
    <t>Column Labels</t>
  </si>
  <si>
    <t>(blank)</t>
  </si>
  <si>
    <t>Count of Status</t>
  </si>
  <si>
    <t>BHOPAL</t>
  </si>
  <si>
    <t>📊  LEAD MANAGEMENT DASHBOARD REPORT — 2024</t>
  </si>
  <si>
    <t xml:space="preserve">                         Total Leads</t>
  </si>
  <si>
    <t xml:space="preserve">     Converted &amp; Rate</t>
  </si>
  <si>
    <t xml:space="preserve">          Total Leads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</si>
</sst>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3" x14ac:knownFonts="1">
    <font>
      <sz val="11"/>
      <color theme="1"/>
      <name val="Calibri"/>
      <family val="2"/>
      <scheme val="minor"/>
    </font>
    <font>
      <b/>
      <sz val="11"/>
      <color rgb="FFFFFFFF"/>
      <name val="Arial"/>
      <family val="2"/>
    </font>
    <font>
      <sz val="10"/>
      <color rgb="FF000000"/>
      <name val="Arial"/>
      <family val="2"/>
    </font>
    <font>
      <b/>
      <sz val="10"/>
      <color rgb="FFFFFFFF"/>
      <name val="Arial"/>
      <family val="2"/>
    </font>
    <font>
      <sz val="11"/>
      <color theme="1"/>
      <name val="Calibri"/>
      <family val="2"/>
      <charset val="1"/>
    </font>
    <font>
      <sz val="8"/>
      <color rgb="FF546E7A"/>
      <name val="Arial"/>
      <family val="2"/>
    </font>
    <font>
      <sz val="10"/>
      <color rgb="FF333333"/>
      <name val="Arial"/>
      <family val="2"/>
    </font>
    <font>
      <b/>
      <sz val="10"/>
      <color rgb="FF333333"/>
      <name val="Arial"/>
      <family val="2"/>
    </font>
    <font>
      <sz val="8"/>
      <color rgb="FF6D4C41"/>
      <name val="Arial"/>
      <family val="2"/>
    </font>
    <font>
      <sz val="8"/>
      <color rgb="FF00ACC1"/>
      <name val="Arial"/>
      <family val="2"/>
    </font>
    <font>
      <sz val="8"/>
      <color rgb="FFE53935"/>
      <name val="Arial"/>
      <family val="2"/>
    </font>
    <font>
      <sz val="8"/>
      <color rgb="FF8E24AA"/>
      <name val="Arial"/>
      <family val="2"/>
    </font>
    <font>
      <sz val="8"/>
      <color rgb="FFFB8C00"/>
      <name val="Arial"/>
      <family val="2"/>
    </font>
    <font>
      <sz val="8"/>
      <color rgb="FF43A047"/>
      <name val="Arial"/>
      <family val="2"/>
    </font>
    <font>
      <sz val="8"/>
      <color rgb="FF1E88E5"/>
      <name val="Arial"/>
      <family val="2"/>
    </font>
    <font>
      <b/>
      <sz val="10"/>
      <color rgb="FF2E7D32"/>
      <name val="Arial"/>
      <family val="2"/>
    </font>
    <font>
      <b/>
      <sz val="10"/>
      <color rgb="FFE65100"/>
      <name val="Arial"/>
      <family val="2"/>
    </font>
    <font>
      <b/>
      <sz val="10"/>
      <color rgb="FF1565C0"/>
      <name val="Arial"/>
      <family val="2"/>
    </font>
    <font>
      <sz val="8"/>
      <color rgb="FF00695C"/>
      <name val="Arial"/>
      <family val="2"/>
    </font>
    <font>
      <b/>
      <sz val="10"/>
      <color rgb="FF00695C"/>
      <name val="Arial"/>
      <family val="2"/>
    </font>
    <font>
      <sz val="8"/>
      <color rgb="FF2E7D32"/>
      <name val="Arial"/>
      <family val="2"/>
    </font>
    <font>
      <sz val="8"/>
      <color rgb="FF1565C0"/>
      <name val="Arial"/>
      <family val="2"/>
    </font>
    <font>
      <sz val="10"/>
      <color rgb="FF666666"/>
      <name val="Arial"/>
      <family val="2"/>
    </font>
    <font>
      <sz val="8"/>
      <color rgb="FF9E9E9E"/>
      <name val="Arial"/>
      <family val="2"/>
    </font>
    <font>
      <b/>
      <sz val="10"/>
      <color rgb="FF9E9E9E"/>
      <name val="Arial"/>
      <family val="2"/>
    </font>
    <font>
      <b/>
      <sz val="10"/>
      <color rgb="FFE53935"/>
      <name val="Arial"/>
      <family val="2"/>
    </font>
    <font>
      <b/>
      <sz val="10"/>
      <color rgb="FFFF9800"/>
      <name val="Arial"/>
      <family val="2"/>
    </font>
    <font>
      <sz val="8"/>
      <color rgb="FF7B1FA2"/>
      <name val="Arial"/>
      <family val="2"/>
    </font>
    <font>
      <b/>
      <sz val="10"/>
      <color rgb="FF7B1FA2"/>
      <name val="Arial"/>
      <family val="2"/>
    </font>
    <font>
      <b/>
      <sz val="10"/>
      <color rgb="FFF44336"/>
      <name val="Arial"/>
      <family val="2"/>
    </font>
    <font>
      <sz val="8"/>
      <color rgb="FFE65100"/>
      <name val="Arial"/>
      <family val="2"/>
    </font>
    <font>
      <b/>
      <sz val="10"/>
      <color rgb="FF2196F3"/>
      <name val="Arial"/>
      <family val="2"/>
    </font>
    <font>
      <b/>
      <sz val="10"/>
      <color rgb="FF4CAF50"/>
      <name val="Arial"/>
      <family val="2"/>
    </font>
    <font>
      <b/>
      <sz val="24"/>
      <color rgb="FF4527A0"/>
      <name val="Arial"/>
      <family val="2"/>
    </font>
    <font>
      <b/>
      <sz val="24"/>
      <color rgb="FFE65100"/>
      <name val="Arial"/>
      <family val="2"/>
    </font>
    <font>
      <b/>
      <sz val="24"/>
      <color rgb="FF2E7D32"/>
      <name val="Arial"/>
      <family val="2"/>
    </font>
    <font>
      <b/>
      <sz val="24"/>
      <color rgb="FF1565C0"/>
      <name val="Arial"/>
      <family val="2"/>
    </font>
    <font>
      <b/>
      <sz val="9"/>
      <color rgb="FF888888"/>
      <name val="Arial"/>
      <family val="2"/>
    </font>
    <font>
      <i/>
      <sz val="10"/>
      <color rgb="FF666666"/>
      <name val="Arial"/>
      <family val="2"/>
    </font>
    <font>
      <b/>
      <sz val="16"/>
      <color rgb="FFFFFFFF"/>
      <name val="Arial"/>
      <family val="2"/>
    </font>
    <font>
      <sz val="9"/>
      <name val="Arial"/>
      <family val="2"/>
    </font>
    <font>
      <b/>
      <sz val="14"/>
      <color theme="1"/>
      <name val="Calibri"/>
      <family val="2"/>
      <scheme val="minor"/>
    </font>
    <font>
      <b/>
      <sz val="16"/>
      <color theme="1"/>
      <name val="Calibri"/>
      <family val="2"/>
      <scheme val="minor"/>
    </font>
  </fonts>
  <fills count="28">
    <fill>
      <patternFill patternType="none"/>
    </fill>
    <fill>
      <patternFill patternType="gray125"/>
    </fill>
    <fill>
      <patternFill patternType="solid">
        <fgColor rgb="FFEBF3FB"/>
      </patternFill>
    </fill>
    <fill>
      <patternFill patternType="solid">
        <fgColor rgb="FFFFFFFF"/>
      </patternFill>
    </fill>
    <fill>
      <patternFill patternType="solid">
        <fgColor rgb="FF1F3864"/>
      </patternFill>
    </fill>
    <fill>
      <patternFill patternType="solid">
        <fgColor rgb="FFFFFFFF"/>
        <bgColor rgb="FFF8FAFC"/>
      </patternFill>
    </fill>
    <fill>
      <patternFill patternType="solid">
        <fgColor rgb="FFF1F8F5"/>
        <bgColor rgb="FFF5F5F5"/>
      </patternFill>
    </fill>
    <fill>
      <patternFill patternType="solid">
        <fgColor rgb="FFF5F0FF"/>
        <bgColor rgb="FFF0F4F8"/>
      </patternFill>
    </fill>
    <fill>
      <patternFill patternType="solid">
        <fgColor rgb="FF5E35B1"/>
        <bgColor rgb="FF4527A0"/>
      </patternFill>
    </fill>
    <fill>
      <patternFill patternType="solid">
        <fgColor rgb="FF00897B"/>
        <bgColor rgb="FF00695C"/>
      </patternFill>
    </fill>
    <fill>
      <patternFill patternType="solid">
        <fgColor rgb="FF4527A0"/>
        <bgColor rgb="FF5E35B1"/>
      </patternFill>
    </fill>
    <fill>
      <patternFill patternType="solid">
        <fgColor rgb="FF00695C"/>
        <bgColor rgb="FF00897B"/>
      </patternFill>
    </fill>
    <fill>
      <patternFill patternType="solid">
        <fgColor rgb="FFF8FAFC"/>
        <bgColor rgb="FFF9F9F9"/>
      </patternFill>
    </fill>
    <fill>
      <patternFill patternType="solid">
        <fgColor rgb="FFFFFDE7"/>
        <bgColor rgb="FFFFF8E1"/>
      </patternFill>
    </fill>
    <fill>
      <patternFill patternType="solid">
        <fgColor rgb="FF2E6DA4"/>
        <bgColor rgb="FF1565C0"/>
      </patternFill>
    </fill>
    <fill>
      <patternFill patternType="solid">
        <fgColor rgb="FF1E3A5F"/>
        <bgColor rgb="FF333333"/>
      </patternFill>
    </fill>
    <fill>
      <patternFill patternType="solid">
        <fgColor rgb="FFF0F8FF"/>
        <bgColor rgb="FFF1F8F5"/>
      </patternFill>
    </fill>
    <fill>
      <patternFill patternType="solid">
        <fgColor rgb="FF3A82C4"/>
        <bgColor rgb="FF4A7EBB"/>
      </patternFill>
    </fill>
    <fill>
      <patternFill patternType="solid">
        <fgColor rgb="FFFFEBEE"/>
        <bgColor rgb="FFF5F0FF"/>
      </patternFill>
    </fill>
    <fill>
      <patternFill patternType="solid">
        <fgColor rgb="FFEDE7F6"/>
        <bgColor rgb="FFF5F0FF"/>
      </patternFill>
    </fill>
    <fill>
      <patternFill patternType="solid">
        <fgColor rgb="FFFFF8E1"/>
        <bgColor rgb="FFFFFDE7"/>
      </patternFill>
    </fill>
    <fill>
      <patternFill patternType="solid">
        <fgColor rgb="FFE8F5E9"/>
        <bgColor rgb="FFEBF3FB"/>
      </patternFill>
    </fill>
    <fill>
      <patternFill patternType="solid">
        <fgColor rgb="FFEBF3FB"/>
        <bgColor rgb="FFF0F4F8"/>
      </patternFill>
    </fill>
    <fill>
      <patternFill patternType="solid">
        <fgColor rgb="FFF0F4F8"/>
        <bgColor rgb="FFF5F5F5"/>
      </patternFill>
    </fill>
    <fill>
      <patternFill patternType="solid">
        <fgColor rgb="FFE3F2FD"/>
        <bgColor rgb="FFEBF3FB"/>
      </patternFill>
    </fill>
    <fill>
      <patternFill patternType="solid">
        <fgColor rgb="FFF5F5F5"/>
        <bgColor rgb="FFF0F4F8"/>
      </patternFill>
    </fill>
    <fill>
      <patternFill patternType="solid">
        <fgColor theme="0" tint="-0.249977111117893"/>
        <bgColor indexed="64"/>
      </patternFill>
    </fill>
    <fill>
      <patternFill patternType="solid">
        <fgColor theme="2"/>
        <bgColor indexed="64"/>
      </patternFill>
    </fill>
  </fills>
  <borders count="19">
    <border>
      <left/>
      <right/>
      <top/>
      <bottom/>
      <diagonal/>
    </border>
    <border>
      <left style="thin">
        <color rgb="FFBDD7EE"/>
      </left>
      <right style="thin">
        <color rgb="FFBDD7EE"/>
      </right>
      <top style="thin">
        <color rgb="FFBDD7EE"/>
      </top>
      <bottom style="thin">
        <color rgb="FFBDD7EE"/>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right style="thin">
        <color rgb="FFDDDDDD"/>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
      <left style="thin">
        <color indexed="64"/>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diagonal/>
    </border>
    <border>
      <left/>
      <right/>
      <top/>
      <bottom style="double">
        <color indexed="64"/>
      </bottom>
      <diagonal/>
    </border>
    <border>
      <left/>
      <right/>
      <top style="double">
        <color indexed="64"/>
      </top>
      <bottom style="double">
        <color indexed="64"/>
      </bottom>
      <diagonal/>
    </border>
  </borders>
  <cellStyleXfs count="2">
    <xf numFmtId="0" fontId="0" fillId="0" borderId="0"/>
    <xf numFmtId="0" fontId="4" fillId="0" borderId="0"/>
  </cellStyleXfs>
  <cellXfs count="137">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left" vertical="center"/>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3" fillId="4" borderId="2" xfId="0" applyFont="1" applyFill="1" applyBorder="1" applyAlignment="1">
      <alignment horizontal="center" vertical="center"/>
    </xf>
    <xf numFmtId="0" fontId="4" fillId="0" borderId="0" xfId="1"/>
    <xf numFmtId="0" fontId="5" fillId="5" borderId="3" xfId="1" applyFont="1" applyFill="1" applyBorder="1"/>
    <xf numFmtId="0" fontId="6" fillId="5" borderId="3" xfId="1" applyFont="1" applyFill="1" applyBorder="1" applyAlignment="1">
      <alignment horizontal="center" vertical="center"/>
    </xf>
    <xf numFmtId="0" fontId="7" fillId="5" borderId="3" xfId="1" applyFont="1" applyFill="1" applyBorder="1" applyAlignment="1">
      <alignment horizontal="center" vertical="center"/>
    </xf>
    <xf numFmtId="0" fontId="7" fillId="5" borderId="3" xfId="1" applyFont="1" applyFill="1" applyBorder="1" applyAlignment="1">
      <alignment horizontal="left" vertical="center"/>
    </xf>
    <xf numFmtId="0" fontId="8" fillId="6" borderId="3" xfId="1" applyFont="1" applyFill="1" applyBorder="1"/>
    <xf numFmtId="0" fontId="7" fillId="6" borderId="3" xfId="1" applyFont="1" applyFill="1" applyBorder="1" applyAlignment="1">
      <alignment horizontal="center" vertical="center"/>
    </xf>
    <xf numFmtId="0" fontId="7" fillId="6" borderId="3" xfId="1" applyFont="1" applyFill="1" applyBorder="1" applyAlignment="1">
      <alignment horizontal="left" vertical="center"/>
    </xf>
    <xf numFmtId="0" fontId="9" fillId="5" borderId="3" xfId="1" applyFont="1" applyFill="1" applyBorder="1"/>
    <xf numFmtId="0" fontId="10" fillId="6" borderId="3" xfId="1" applyFont="1" applyFill="1" applyBorder="1"/>
    <xf numFmtId="0" fontId="11" fillId="5" borderId="3" xfId="1" applyFont="1" applyFill="1" applyBorder="1"/>
    <xf numFmtId="0" fontId="6" fillId="7" borderId="3" xfId="1" applyFont="1" applyFill="1" applyBorder="1" applyAlignment="1">
      <alignment horizontal="center" vertical="center"/>
    </xf>
    <xf numFmtId="0" fontId="7" fillId="7" borderId="3" xfId="1" applyFont="1" applyFill="1" applyBorder="1" applyAlignment="1">
      <alignment horizontal="left" vertical="center"/>
    </xf>
    <xf numFmtId="0" fontId="12" fillId="6" borderId="3" xfId="1" applyFont="1" applyFill="1" applyBorder="1"/>
    <xf numFmtId="0" fontId="13" fillId="5" borderId="3" xfId="1" applyFont="1" applyFill="1" applyBorder="1"/>
    <xf numFmtId="0" fontId="14" fillId="6" borderId="3" xfId="1" applyFont="1" applyFill="1" applyBorder="1"/>
    <xf numFmtId="0" fontId="3" fillId="8" borderId="3" xfId="1" applyFont="1" applyFill="1" applyBorder="1" applyAlignment="1">
      <alignment horizontal="center" vertical="center"/>
    </xf>
    <xf numFmtId="0" fontId="3" fillId="9" borderId="3" xfId="1" applyFont="1" applyFill="1" applyBorder="1" applyAlignment="1">
      <alignment horizontal="center" vertical="center"/>
    </xf>
    <xf numFmtId="0" fontId="6" fillId="12" borderId="3" xfId="1" applyFont="1" applyFill="1" applyBorder="1" applyAlignment="1">
      <alignment horizontal="center" vertical="center"/>
    </xf>
    <xf numFmtId="0" fontId="7" fillId="12" borderId="3" xfId="1" applyFont="1" applyFill="1" applyBorder="1" applyAlignment="1">
      <alignment horizontal="left" vertical="center"/>
    </xf>
    <xf numFmtId="0" fontId="6" fillId="13" borderId="3" xfId="1" applyFont="1" applyFill="1" applyBorder="1" applyAlignment="1">
      <alignment horizontal="center" vertical="center"/>
    </xf>
    <xf numFmtId="0" fontId="7" fillId="13" borderId="3" xfId="1" applyFont="1" applyFill="1" applyBorder="1" applyAlignment="1">
      <alignment horizontal="left" vertical="center"/>
    </xf>
    <xf numFmtId="0" fontId="3" fillId="14" borderId="3" xfId="1" applyFont="1" applyFill="1" applyBorder="1" applyAlignment="1">
      <alignment horizontal="center" vertical="center"/>
    </xf>
    <xf numFmtId="0" fontId="18" fillId="16" borderId="3" xfId="1" applyFont="1" applyFill="1" applyBorder="1"/>
    <xf numFmtId="0" fontId="7" fillId="16" borderId="3" xfId="1" applyFont="1" applyFill="1" applyBorder="1" applyAlignment="1">
      <alignment horizontal="center" vertical="center"/>
    </xf>
    <xf numFmtId="0" fontId="19" fillId="16" borderId="3" xfId="1" applyFont="1" applyFill="1" applyBorder="1" applyAlignment="1">
      <alignment horizontal="left" vertical="center"/>
    </xf>
    <xf numFmtId="0" fontId="20" fillId="5" borderId="3" xfId="1" applyFont="1" applyFill="1" applyBorder="1"/>
    <xf numFmtId="0" fontId="15" fillId="5" borderId="3" xfId="1" applyFont="1" applyFill="1" applyBorder="1" applyAlignment="1">
      <alignment horizontal="left" vertical="center"/>
    </xf>
    <xf numFmtId="0" fontId="21" fillId="16" borderId="3" xfId="1" applyFont="1" applyFill="1" applyBorder="1"/>
    <xf numFmtId="0" fontId="17" fillId="16" borderId="3" xfId="1" applyFont="1" applyFill="1" applyBorder="1" applyAlignment="1">
      <alignment horizontal="left" vertical="center"/>
    </xf>
    <xf numFmtId="0" fontId="22" fillId="12" borderId="3" xfId="1" applyFont="1" applyFill="1" applyBorder="1" applyAlignment="1">
      <alignment horizontal="left" vertical="center"/>
    </xf>
    <xf numFmtId="0" fontId="7" fillId="12" borderId="3" xfId="1" applyFont="1" applyFill="1" applyBorder="1" applyAlignment="1">
      <alignment horizontal="center" vertical="center"/>
    </xf>
    <xf numFmtId="0" fontId="24" fillId="12" borderId="3" xfId="1" applyFont="1" applyFill="1" applyBorder="1" applyAlignment="1">
      <alignment horizontal="left" vertical="center"/>
    </xf>
    <xf numFmtId="0" fontId="10" fillId="5" borderId="3" xfId="1" applyFont="1" applyFill="1" applyBorder="1"/>
    <xf numFmtId="0" fontId="25" fillId="5" borderId="3" xfId="1" applyFont="1" applyFill="1" applyBorder="1" applyAlignment="1">
      <alignment horizontal="left" vertical="center"/>
    </xf>
    <xf numFmtId="0" fontId="22" fillId="5" borderId="3" xfId="1" applyFont="1" applyFill="1" applyBorder="1" applyAlignment="1">
      <alignment horizontal="left" vertical="center"/>
    </xf>
    <xf numFmtId="0" fontId="26" fillId="5" borderId="3" xfId="1" applyFont="1" applyFill="1" applyBorder="1" applyAlignment="1">
      <alignment horizontal="left" vertical="center"/>
    </xf>
    <xf numFmtId="0" fontId="27" fillId="16" borderId="3" xfId="1" applyFont="1" applyFill="1" applyBorder="1"/>
    <xf numFmtId="0" fontId="28" fillId="16" borderId="3" xfId="1" applyFont="1" applyFill="1" applyBorder="1" applyAlignment="1">
      <alignment horizontal="left" vertical="center"/>
    </xf>
    <xf numFmtId="0" fontId="29" fillId="12" borderId="3" xfId="1" applyFont="1" applyFill="1" applyBorder="1" applyAlignment="1">
      <alignment horizontal="left" vertical="center"/>
    </xf>
    <xf numFmtId="0" fontId="30" fillId="5" borderId="3" xfId="1" applyFont="1" applyFill="1" applyBorder="1"/>
    <xf numFmtId="0" fontId="16" fillId="5" borderId="3" xfId="1" applyFont="1" applyFill="1" applyBorder="1" applyAlignment="1">
      <alignment horizontal="left" vertical="center"/>
    </xf>
    <xf numFmtId="0" fontId="31" fillId="5" borderId="3" xfId="1" applyFont="1" applyFill="1" applyBorder="1" applyAlignment="1">
      <alignment horizontal="left" vertical="center"/>
    </xf>
    <xf numFmtId="0" fontId="23" fillId="16" borderId="3" xfId="1" applyFont="1" applyFill="1" applyBorder="1"/>
    <xf numFmtId="0" fontId="24" fillId="16" borderId="3" xfId="1" applyFont="1" applyFill="1" applyBorder="1" applyAlignment="1">
      <alignment horizontal="left" vertical="center"/>
    </xf>
    <xf numFmtId="0" fontId="32" fillId="12" borderId="3" xfId="1" applyFont="1" applyFill="1" applyBorder="1" applyAlignment="1">
      <alignment horizontal="left" vertical="center"/>
    </xf>
    <xf numFmtId="0" fontId="3" fillId="17" borderId="3" xfId="1" applyFont="1" applyFill="1" applyBorder="1" applyAlignment="1">
      <alignment horizontal="center" vertical="center"/>
    </xf>
    <xf numFmtId="0" fontId="40" fillId="21" borderId="3" xfId="1" applyFont="1" applyFill="1" applyBorder="1" applyAlignment="1">
      <alignment horizontal="left" vertical="center"/>
    </xf>
    <xf numFmtId="0" fontId="40" fillId="21" borderId="3" xfId="1" applyFont="1" applyFill="1" applyBorder="1" applyAlignment="1">
      <alignment horizontal="center" vertical="center"/>
    </xf>
    <xf numFmtId="0" fontId="40" fillId="24" borderId="3" xfId="1" applyFont="1" applyFill="1" applyBorder="1" applyAlignment="1">
      <alignment horizontal="left" vertical="center"/>
    </xf>
    <xf numFmtId="0" fontId="40" fillId="24" borderId="3" xfId="1" applyFont="1" applyFill="1" applyBorder="1" applyAlignment="1">
      <alignment horizontal="center" vertical="center"/>
    </xf>
    <xf numFmtId="0" fontId="40" fillId="25" borderId="3" xfId="1" applyFont="1" applyFill="1" applyBorder="1" applyAlignment="1">
      <alignment horizontal="left" vertical="center"/>
    </xf>
    <xf numFmtId="0" fontId="40" fillId="25" borderId="3" xfId="1" applyFont="1" applyFill="1" applyBorder="1" applyAlignment="1">
      <alignment horizontal="center" vertical="center"/>
    </xf>
    <xf numFmtId="0" fontId="40" fillId="18" borderId="3" xfId="1" applyFont="1" applyFill="1" applyBorder="1" applyAlignment="1">
      <alignment horizontal="left" vertical="center"/>
    </xf>
    <xf numFmtId="0" fontId="40" fillId="18" borderId="3" xfId="1" applyFont="1" applyFill="1" applyBorder="1" applyAlignment="1">
      <alignment horizontal="center" vertical="center"/>
    </xf>
    <xf numFmtId="0" fontId="40" fillId="20" borderId="3" xfId="1" applyFont="1" applyFill="1" applyBorder="1" applyAlignment="1">
      <alignment horizontal="left" vertical="center"/>
    </xf>
    <xf numFmtId="0" fontId="40" fillId="20" borderId="3" xfId="1" applyFont="1" applyFill="1" applyBorder="1" applyAlignment="1">
      <alignment horizontal="center" vertical="center"/>
    </xf>
    <xf numFmtId="0" fontId="0" fillId="0" borderId="0" xfId="0"/>
    <xf numFmtId="10" fontId="6" fillId="12" borderId="3" xfId="1" applyNumberFormat="1" applyFont="1" applyFill="1" applyBorder="1" applyAlignment="1">
      <alignment horizontal="center" vertical="center"/>
    </xf>
    <xf numFmtId="2" fontId="6" fillId="12" borderId="3" xfId="1" applyNumberFormat="1" applyFont="1" applyFill="1" applyBorder="1" applyAlignment="1">
      <alignment horizontal="center" vertical="center"/>
    </xf>
    <xf numFmtId="10" fontId="6" fillId="16" borderId="3" xfId="1" applyNumberFormat="1" applyFont="1" applyFill="1" applyBorder="1" applyAlignment="1">
      <alignment horizontal="center" vertical="center"/>
    </xf>
    <xf numFmtId="10" fontId="0" fillId="0" borderId="0" xfId="0" applyNumberFormat="1"/>
    <xf numFmtId="10" fontId="17" fillId="13" borderId="3" xfId="1" applyNumberFormat="1" applyFont="1" applyFill="1" applyBorder="1" applyAlignment="1">
      <alignment horizontal="center" vertical="center"/>
    </xf>
    <xf numFmtId="10" fontId="6" fillId="6" borderId="3" xfId="1" applyNumberFormat="1" applyFont="1" applyFill="1" applyBorder="1" applyAlignment="1">
      <alignment horizontal="center" vertical="center"/>
    </xf>
    <xf numFmtId="10" fontId="4" fillId="6" borderId="3" xfId="1" applyNumberFormat="1" applyFill="1" applyBorder="1"/>
    <xf numFmtId="10" fontId="4" fillId="5" borderId="3" xfId="1" applyNumberFormat="1" applyFill="1" applyBorder="1"/>
    <xf numFmtId="0" fontId="40" fillId="21" borderId="6" xfId="1" applyFont="1" applyFill="1" applyBorder="1" applyAlignment="1">
      <alignment horizontal="center" vertical="center"/>
    </xf>
    <xf numFmtId="0" fontId="40" fillId="24" borderId="6" xfId="1" applyFont="1" applyFill="1" applyBorder="1" applyAlignment="1">
      <alignment horizontal="center" vertical="center"/>
    </xf>
    <xf numFmtId="0" fontId="40" fillId="18" borderId="6" xfId="1" applyFont="1" applyFill="1" applyBorder="1" applyAlignment="1">
      <alignment horizontal="center" vertical="center"/>
    </xf>
    <xf numFmtId="0" fontId="40" fillId="20" borderId="6" xfId="1" applyFont="1" applyFill="1" applyBorder="1" applyAlignment="1">
      <alignment horizontal="center" vertical="center"/>
    </xf>
    <xf numFmtId="0" fontId="40" fillId="25" borderId="6" xfId="1" applyFont="1" applyFill="1" applyBorder="1" applyAlignment="1">
      <alignment horizontal="center" vertical="center"/>
    </xf>
    <xf numFmtId="0" fontId="40" fillId="21" borderId="4" xfId="1" applyFont="1" applyFill="1" applyBorder="1" applyAlignment="1">
      <alignment horizontal="left" vertical="center"/>
    </xf>
    <xf numFmtId="0" fontId="40" fillId="24" borderId="4" xfId="1" applyFont="1" applyFill="1" applyBorder="1" applyAlignment="1">
      <alignment horizontal="left" vertical="center"/>
    </xf>
    <xf numFmtId="0" fontId="40" fillId="18" borderId="4" xfId="1" applyFont="1" applyFill="1" applyBorder="1" applyAlignment="1">
      <alignment horizontal="left" vertical="center"/>
    </xf>
    <xf numFmtId="0" fontId="40" fillId="20" borderId="4" xfId="1" applyFont="1" applyFill="1" applyBorder="1" applyAlignment="1">
      <alignment horizontal="left" vertical="center"/>
    </xf>
    <xf numFmtId="0" fontId="40" fillId="25" borderId="4" xfId="1" applyFont="1" applyFill="1" applyBorder="1" applyAlignment="1">
      <alignment horizontal="left" vertical="center"/>
    </xf>
    <xf numFmtId="0" fontId="1" fillId="15" borderId="7" xfId="1" applyFont="1" applyFill="1" applyBorder="1" applyAlignment="1">
      <alignment horizontal="center" vertical="center" wrapText="1"/>
    </xf>
    <xf numFmtId="0" fontId="1" fillId="15" borderId="8" xfId="1" applyFont="1" applyFill="1" applyBorder="1" applyAlignment="1">
      <alignment horizontal="center" vertical="center" wrapText="1"/>
    </xf>
    <xf numFmtId="0" fontId="1" fillId="15" borderId="9" xfId="1" applyFont="1" applyFill="1" applyBorder="1" applyAlignment="1">
      <alignment horizontal="center" vertical="center" wrapText="1"/>
    </xf>
    <xf numFmtId="0" fontId="40" fillId="21" borderId="10" xfId="1" applyFont="1" applyFill="1" applyBorder="1" applyAlignment="1">
      <alignment horizontal="center" vertical="center"/>
    </xf>
    <xf numFmtId="0" fontId="40" fillId="21" borderId="11" xfId="1" applyFont="1" applyFill="1" applyBorder="1" applyAlignment="1">
      <alignment horizontal="left" vertical="center"/>
    </xf>
    <xf numFmtId="0" fontId="40" fillId="21" borderId="11" xfId="1" applyFont="1" applyFill="1" applyBorder="1" applyAlignment="1">
      <alignment horizontal="center" vertical="center"/>
    </xf>
    <xf numFmtId="0" fontId="40" fillId="21" borderId="12" xfId="1"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14" fontId="1" fillId="15" borderId="8" xfId="1" applyNumberFormat="1" applyFont="1" applyFill="1" applyBorder="1" applyAlignment="1">
      <alignment horizontal="center" vertical="center" wrapText="1"/>
    </xf>
    <xf numFmtId="14" fontId="40" fillId="21" borderId="3" xfId="1" applyNumberFormat="1" applyFont="1" applyFill="1" applyBorder="1" applyAlignment="1">
      <alignment horizontal="center" vertical="center"/>
    </xf>
    <xf numFmtId="14" fontId="40" fillId="24" borderId="3" xfId="1" applyNumberFormat="1" applyFont="1" applyFill="1" applyBorder="1" applyAlignment="1">
      <alignment horizontal="center" vertical="center"/>
    </xf>
    <xf numFmtId="14" fontId="40" fillId="18" borderId="3" xfId="1" applyNumberFormat="1" applyFont="1" applyFill="1" applyBorder="1" applyAlignment="1">
      <alignment horizontal="center" vertical="center"/>
    </xf>
    <xf numFmtId="14" fontId="40" fillId="20" borderId="3" xfId="1" applyNumberFormat="1" applyFont="1" applyFill="1" applyBorder="1" applyAlignment="1">
      <alignment horizontal="center" vertical="center"/>
    </xf>
    <xf numFmtId="14" fontId="40" fillId="25" borderId="3" xfId="1" applyNumberFormat="1" applyFont="1" applyFill="1" applyBorder="1" applyAlignment="1">
      <alignment horizontal="center" vertical="center"/>
    </xf>
    <xf numFmtId="14" fontId="40" fillId="21" borderId="11" xfId="1" applyNumberFormat="1" applyFont="1" applyFill="1" applyBorder="1" applyAlignment="1">
      <alignment horizontal="center" vertical="center"/>
    </xf>
    <xf numFmtId="14" fontId="4" fillId="0" borderId="0" xfId="1" applyNumberFormat="1"/>
    <xf numFmtId="0" fontId="41" fillId="26" borderId="15" xfId="0" applyFont="1" applyFill="1" applyBorder="1" applyAlignment="1">
      <alignment vertical="center"/>
    </xf>
    <xf numFmtId="0" fontId="42" fillId="27" borderId="16" xfId="0" applyFont="1" applyFill="1" applyBorder="1" applyAlignment="1">
      <alignment vertical="top"/>
    </xf>
    <xf numFmtId="0" fontId="42" fillId="27" borderId="17" xfId="0" applyFont="1" applyFill="1" applyBorder="1" applyAlignment="1">
      <alignment vertical="top"/>
    </xf>
    <xf numFmtId="0" fontId="41" fillId="26" borderId="18" xfId="0" applyFont="1" applyFill="1" applyBorder="1" applyAlignment="1">
      <alignment vertical="center"/>
    </xf>
    <xf numFmtId="0" fontId="36" fillId="22" borderId="4" xfId="1" applyFont="1" applyFill="1" applyBorder="1" applyAlignment="1">
      <alignment horizontal="center" vertical="center"/>
    </xf>
    <xf numFmtId="0" fontId="35" fillId="21" borderId="4" xfId="1" applyFont="1" applyFill="1" applyBorder="1" applyAlignment="1">
      <alignment horizontal="center" vertical="center"/>
    </xf>
    <xf numFmtId="0" fontId="35" fillId="21" borderId="6" xfId="1" applyFont="1" applyFill="1" applyBorder="1" applyAlignment="1">
      <alignment horizontal="center" vertical="center"/>
    </xf>
    <xf numFmtId="0" fontId="39" fillId="15" borderId="0" xfId="1" applyFont="1" applyFill="1" applyAlignment="1">
      <alignment horizontal="center" vertical="center"/>
    </xf>
    <xf numFmtId="0" fontId="38" fillId="23" borderId="0" xfId="1" applyFont="1" applyFill="1" applyAlignment="1">
      <alignment horizontal="center"/>
    </xf>
    <xf numFmtId="0" fontId="37" fillId="22" borderId="0" xfId="1" applyFont="1" applyFill="1" applyAlignment="1">
      <alignment horizontal="center" vertical="center"/>
    </xf>
    <xf numFmtId="0" fontId="37" fillId="21" borderId="0" xfId="1" applyFont="1" applyFill="1" applyAlignment="1">
      <alignment horizontal="center" vertical="center"/>
    </xf>
    <xf numFmtId="0" fontId="37" fillId="20" borderId="0" xfId="1" applyFont="1" applyFill="1" applyAlignment="1">
      <alignment horizontal="center" vertical="center"/>
    </xf>
    <xf numFmtId="0" fontId="37" fillId="19" borderId="0" xfId="1" applyFont="1" applyFill="1" applyAlignment="1">
      <alignment horizontal="center" vertical="center"/>
    </xf>
    <xf numFmtId="0" fontId="37" fillId="18" borderId="0" xfId="1" applyFont="1" applyFill="1" applyAlignment="1">
      <alignment horizontal="center" vertical="center"/>
    </xf>
    <xf numFmtId="10" fontId="34" fillId="20" borderId="4" xfId="1" applyNumberFormat="1" applyFont="1" applyFill="1" applyBorder="1" applyAlignment="1">
      <alignment horizontal="center" vertical="center"/>
    </xf>
    <xf numFmtId="0" fontId="33" fillId="19" borderId="4" xfId="1" applyFont="1" applyFill="1" applyBorder="1" applyAlignment="1">
      <alignment horizontal="center" vertical="center"/>
    </xf>
    <xf numFmtId="0" fontId="4" fillId="20" borderId="0" xfId="1" applyFill="1"/>
    <xf numFmtId="0" fontId="1" fillId="15" borderId="4" xfId="1" applyFont="1" applyFill="1" applyBorder="1" applyAlignment="1">
      <alignment horizontal="center" vertical="center" wrapText="1"/>
    </xf>
    <xf numFmtId="0" fontId="1" fillId="11" borderId="4" xfId="1" applyFont="1" applyFill="1" applyBorder="1" applyAlignment="1">
      <alignment horizontal="center" vertical="center" wrapText="1"/>
    </xf>
    <xf numFmtId="0" fontId="1" fillId="10" borderId="4" xfId="1" applyFont="1" applyFill="1" applyBorder="1" applyAlignment="1">
      <alignment horizontal="center" vertical="center" wrapText="1"/>
    </xf>
    <xf numFmtId="0" fontId="4" fillId="22" borderId="0" xfId="1" applyFill="1"/>
    <xf numFmtId="0" fontId="4" fillId="21" borderId="0" xfId="1" applyFill="1"/>
    <xf numFmtId="0" fontId="4" fillId="19" borderId="0" xfId="1" applyFill="1"/>
    <xf numFmtId="0" fontId="4" fillId="18" borderId="0" xfId="1" applyFill="1"/>
    <xf numFmtId="0" fontId="1" fillId="14" borderId="4" xfId="1" applyFont="1" applyFill="1" applyBorder="1" applyAlignment="1">
      <alignment horizontal="center" vertical="center" wrapText="1"/>
    </xf>
    <xf numFmtId="0" fontId="1" fillId="14" borderId="5" xfId="1" applyFont="1" applyFill="1" applyBorder="1" applyAlignment="1">
      <alignment horizontal="center" vertical="center" wrapText="1"/>
    </xf>
    <xf numFmtId="0" fontId="1" fillId="14" borderId="6" xfId="1" applyFont="1" applyFill="1" applyBorder="1" applyAlignment="1">
      <alignment horizontal="center" vertical="center" wrapText="1"/>
    </xf>
    <xf numFmtId="0" fontId="1" fillId="15" borderId="5" xfId="1" applyFont="1" applyFill="1" applyBorder="1" applyAlignment="1">
      <alignment horizontal="center" vertical="center" wrapText="1"/>
    </xf>
    <xf numFmtId="0" fontId="1" fillId="15" borderId="6" xfId="1" applyFont="1" applyFill="1" applyBorder="1" applyAlignment="1">
      <alignment horizontal="center" vertical="center" wrapText="1"/>
    </xf>
    <xf numFmtId="0" fontId="41" fillId="26" borderId="14" xfId="0" applyFont="1" applyFill="1" applyBorder="1" applyAlignment="1">
      <alignment horizontal="left" vertical="center"/>
    </xf>
    <xf numFmtId="0" fontId="41" fillId="26" borderId="2" xfId="0" applyFont="1" applyFill="1" applyBorder="1" applyAlignment="1">
      <alignment horizontal="left" vertical="center"/>
    </xf>
    <xf numFmtId="0" fontId="41" fillId="26" borderId="18" xfId="0" applyFont="1" applyFill="1" applyBorder="1" applyAlignment="1">
      <alignment horizontal="left" vertical="center"/>
    </xf>
    <xf numFmtId="0" fontId="42" fillId="27" borderId="0" xfId="0" applyFont="1" applyFill="1" applyAlignment="1">
      <alignment horizontal="right" vertical="center"/>
    </xf>
    <xf numFmtId="10" fontId="42" fillId="27" borderId="13" xfId="0" applyNumberFormat="1" applyFont="1" applyFill="1" applyBorder="1" applyAlignment="1">
      <alignment horizontal="center" vertical="center"/>
    </xf>
    <xf numFmtId="10" fontId="42" fillId="27" borderId="0" xfId="0" applyNumberFormat="1" applyFont="1" applyFill="1" applyBorder="1" applyAlignment="1">
      <alignment horizontal="center" vertical="center"/>
    </xf>
    <xf numFmtId="0" fontId="42" fillId="27" borderId="16" xfId="0" applyFont="1" applyFill="1" applyBorder="1" applyAlignment="1">
      <alignment horizontal="left" vertical="top"/>
    </xf>
    <xf numFmtId="0" fontId="42" fillId="27" borderId="17" xfId="0" applyFont="1" applyFill="1" applyBorder="1" applyAlignment="1">
      <alignment horizontal="left" vertical="top"/>
    </xf>
  </cellXfs>
  <cellStyles count="2">
    <cellStyle name="Normal" xfId="0" builtinId="0"/>
    <cellStyle name="Normal 2" xfId="1" xr:uid="{FDF0028C-19FC-4E27-AC2A-BC00617EBE48}"/>
  </cellStyles>
  <dxfs count="6">
    <dxf>
      <fill>
        <patternFill>
          <bgColor rgb="FF00B050"/>
        </patternFill>
      </fill>
    </dxf>
    <dxf>
      <numFmt numFmtId="19" formatCode="dd/mm/yyyy"/>
    </dxf>
    <dxf>
      <border outline="0">
        <top style="thin">
          <color rgb="FFDDDDDD"/>
        </top>
      </border>
    </dxf>
    <dxf>
      <border outline="0">
        <left style="thin">
          <color rgb="FFDDDDDD"/>
        </left>
        <right style="thin">
          <color rgb="FFDDDDDD"/>
        </right>
        <top style="thin">
          <color rgb="FFDDDDDD"/>
        </top>
        <bottom style="thin">
          <color rgb="FFDDDDDD"/>
        </bottom>
      </border>
    </dxf>
    <dxf>
      <border outline="0">
        <bottom style="thin">
          <color rgb="FFDDDDDD"/>
        </bottom>
      </border>
    </dxf>
    <dxf>
      <font>
        <b/>
        <i val="0"/>
        <strike val="0"/>
        <condense val="0"/>
        <extend val="0"/>
        <outline val="0"/>
        <shadow val="0"/>
        <u val="none"/>
        <vertAlign val="baseline"/>
        <sz val="11"/>
        <color rgb="FFFFFFFF"/>
        <name val="Arial"/>
        <family val="2"/>
        <scheme val="none"/>
      </font>
      <fill>
        <patternFill patternType="solid">
          <fgColor rgb="FF333333"/>
          <bgColor rgb="FF1E3A5F"/>
        </patternFill>
      </fill>
      <alignment horizontal="center" vertical="center" textRotation="0" wrapText="1" indent="0" justifyLastLine="0" shrinkToFit="0" readingOrder="0"/>
      <border diagonalUp="0" diagonalDown="0" outline="0">
        <left style="thin">
          <color rgb="FFDDDDDD"/>
        </left>
        <right style="thin">
          <color rgb="FFDDDDDD"/>
        </right>
        <top/>
        <bottom/>
      </border>
    </dxf>
  </dxfs>
  <tableStyles count="0" defaultTableStyle="TableStyleMedium9" defaultPivotStyle="PivotStyleLight16"/>
  <colors>
    <mruColors>
      <color rgb="FFA67F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[MIS_Assignment_tbs.xlsx]Dashboard &amp; 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a:t>
            </a:r>
            <a:r>
              <a:rPr lang="en-US" b="1" baseline="0"/>
              <a:t> Count by lead Source</a:t>
            </a:r>
            <a:endParaRPr lang="en-US" b="1"/>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&amp; Pivot table'!$Z$5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&amp; Pivot table'!$Y$6:$Y$13</c:f>
              <c:strCache>
                <c:ptCount val="7"/>
                <c:pt idx="0">
                  <c:v>Google Ads</c:v>
                </c:pt>
                <c:pt idx="1">
                  <c:v>IVR</c:v>
                </c:pt>
                <c:pt idx="2">
                  <c:v>Meta Ads</c:v>
                </c:pt>
                <c:pt idx="3">
                  <c:v>Organic</c:v>
                </c:pt>
                <c:pt idx="4">
                  <c:v>Referral</c:v>
                </c:pt>
                <c:pt idx="5">
                  <c:v>Walk-in</c:v>
                </c:pt>
                <c:pt idx="6">
                  <c:v>(blank)</c:v>
                </c:pt>
              </c:strCache>
            </c:strRef>
          </c:cat>
          <c:val>
            <c:numRef>
              <c:f>'Dashboard &amp; Pivot table'!$Z$6:$Z$13</c:f>
              <c:numCache>
                <c:formatCode>General</c:formatCode>
                <c:ptCount val="7"/>
                <c:pt idx="0">
                  <c:v>71</c:v>
                </c:pt>
                <c:pt idx="1">
                  <c:v>55</c:v>
                </c:pt>
                <c:pt idx="2">
                  <c:v>64</c:v>
                </c:pt>
                <c:pt idx="3">
                  <c:v>62</c:v>
                </c:pt>
                <c:pt idx="4">
                  <c:v>73</c:v>
                </c:pt>
                <c:pt idx="5">
                  <c:v>75</c:v>
                </c:pt>
              </c:numCache>
            </c:numRef>
          </c:val>
          <c:extLst>
            <c:ext xmlns:c16="http://schemas.microsoft.com/office/drawing/2014/chart" uri="{C3380CC4-5D6E-409C-BE32-E72D297353CC}">
              <c16:uniqueId val="{00000000-3928-4F3F-B415-64A963077F37}"/>
            </c:ext>
          </c:extLst>
        </c:ser>
        <c:dLbls>
          <c:showLegendKey val="0"/>
          <c:showVal val="1"/>
          <c:showCatName val="0"/>
          <c:showSerName val="0"/>
          <c:showPercent val="0"/>
          <c:showBubbleSize val="0"/>
        </c:dLbls>
        <c:gapWidth val="150"/>
        <c:shape val="box"/>
        <c:axId val="161198832"/>
        <c:axId val="161197584"/>
        <c:axId val="0"/>
      </c:bar3DChart>
      <c:catAx>
        <c:axId val="1611988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7584"/>
        <c:crosses val="autoZero"/>
        <c:auto val="1"/>
        <c:lblAlgn val="ctr"/>
        <c:lblOffset val="100"/>
        <c:noMultiLvlLbl val="0"/>
      </c:catAx>
      <c:valAx>
        <c:axId val="161197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198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[MIS_Assignment_tbs.xlsx]Dashboard &amp; 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Lead Source by Location</a:t>
            </a:r>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'Dashboard &amp; Pivot table'!$AI$5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&amp; Pivot table'!$AH$6:$AH$15</c:f>
              <c:strCache>
                <c:ptCount val="9"/>
                <c:pt idx="0">
                  <c:v>BHOPAL</c:v>
                </c:pt>
                <c:pt idx="1">
                  <c:v>Chennai</c:v>
                </c:pt>
                <c:pt idx="2">
                  <c:v>Mumbai</c:v>
                </c:pt>
                <c:pt idx="3">
                  <c:v>Jaipur</c:v>
                </c:pt>
                <c:pt idx="4">
                  <c:v>Bangalore</c:v>
                </c:pt>
                <c:pt idx="5">
                  <c:v>Hyderabad</c:v>
                </c:pt>
                <c:pt idx="6">
                  <c:v>Pune</c:v>
                </c:pt>
                <c:pt idx="7">
                  <c:v>Delhi</c:v>
                </c:pt>
                <c:pt idx="8">
                  <c:v>Indore</c:v>
                </c:pt>
              </c:strCache>
            </c:strRef>
          </c:cat>
          <c:val>
            <c:numRef>
              <c:f>'Dashboard &amp; Pivot table'!$AI$6:$AI$15</c:f>
              <c:numCache>
                <c:formatCode>General</c:formatCode>
                <c:ptCount val="9"/>
                <c:pt idx="0">
                  <c:v>33</c:v>
                </c:pt>
                <c:pt idx="1">
                  <c:v>36</c:v>
                </c:pt>
                <c:pt idx="2">
                  <c:v>39</c:v>
                </c:pt>
                <c:pt idx="3">
                  <c:v>42</c:v>
                </c:pt>
                <c:pt idx="4">
                  <c:v>44</c:v>
                </c:pt>
                <c:pt idx="5">
                  <c:v>46</c:v>
                </c:pt>
                <c:pt idx="6">
                  <c:v>49</c:v>
                </c:pt>
                <c:pt idx="7">
                  <c:v>55</c:v>
                </c:pt>
                <c:pt idx="8">
                  <c:v>56</c:v>
                </c:pt>
              </c:numCache>
            </c:numRef>
          </c:val>
          <c:extLst>
            <c:ext xmlns:c16="http://schemas.microsoft.com/office/drawing/2014/chart" uri="{C3380CC4-5D6E-409C-BE32-E72D297353CC}">
              <c16:uniqueId val="{00000000-028F-4EFB-967C-C844E27E76D5}"/>
            </c:ext>
          </c:extLst>
        </c:ser>
        <c:dLbls>
          <c:showLegendKey val="0"/>
          <c:showVal val="1"/>
          <c:showCatName val="0"/>
          <c:showSerName val="0"/>
          <c:showPercent val="0"/>
          <c:showBubbleSize val="0"/>
        </c:dLbls>
        <c:gapWidth val="150"/>
        <c:shape val="box"/>
        <c:axId val="291898240"/>
        <c:axId val="291896576"/>
        <c:axId val="0"/>
      </c:bar3DChart>
      <c:catAx>
        <c:axId val="29189824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96576"/>
        <c:crosses val="autoZero"/>
        <c:auto val="1"/>
        <c:lblAlgn val="ctr"/>
        <c:lblOffset val="100"/>
        <c:noMultiLvlLbl val="0"/>
      </c:catAx>
      <c:valAx>
        <c:axId val="291896576"/>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8982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[MIS_Assignment_tbs.xlsx]Dashboard &amp; Pivot table!PivotTable3</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Status Distributions</a:t>
            </a:r>
          </a:p>
        </c:rich>
      </c:tx>
      <c:overlay val="0"/>
      <c:spPr>
        <a:noFill/>
        <a:ln>
          <a:solidFill>
            <a:schemeClr val="tx1"/>
          </a:solid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4"/>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3055483130833797E-2"/>
          <c:y val="0.27140048245414411"/>
          <c:w val="0.8585540838852096"/>
          <c:h val="0.60988424134844421"/>
        </c:manualLayout>
      </c:layout>
      <c:pie3DChart>
        <c:varyColors val="1"/>
        <c:ser>
          <c:idx val="0"/>
          <c:order val="0"/>
          <c:tx>
            <c:strRef>
              <c:f>'Dashboard &amp; Pivot table'!$AD$5</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9F03-4222-92B6-C308AB5243EB}"/>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9F03-4222-92B6-C308AB5243EB}"/>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9F03-4222-92B6-C308AB5243EB}"/>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9F03-4222-92B6-C308AB5243EB}"/>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9F03-4222-92B6-C308AB5243EB}"/>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&amp; Pivot table'!$AC$6:$AC$11</c:f>
              <c:strCache>
                <c:ptCount val="5"/>
                <c:pt idx="0">
                  <c:v>Callback</c:v>
                </c:pt>
                <c:pt idx="1">
                  <c:v>Converted</c:v>
                </c:pt>
                <c:pt idx="2">
                  <c:v>Lost</c:v>
                </c:pt>
                <c:pt idx="3">
                  <c:v>Not Interested</c:v>
                </c:pt>
                <c:pt idx="4">
                  <c:v>Open</c:v>
                </c:pt>
              </c:strCache>
            </c:strRef>
          </c:cat>
          <c:val>
            <c:numRef>
              <c:f>'Dashboard &amp; Pivot table'!$AD$6:$AD$11</c:f>
              <c:numCache>
                <c:formatCode>General</c:formatCode>
                <c:ptCount val="5"/>
                <c:pt idx="0">
                  <c:v>61</c:v>
                </c:pt>
                <c:pt idx="1">
                  <c:v>184</c:v>
                </c:pt>
                <c:pt idx="2">
                  <c:v>60</c:v>
                </c:pt>
                <c:pt idx="3">
                  <c:v>61</c:v>
                </c:pt>
                <c:pt idx="4">
                  <c:v>134</c:v>
                </c:pt>
              </c:numCache>
            </c:numRef>
          </c:val>
          <c:extLst>
            <c:ext xmlns:c16="http://schemas.microsoft.com/office/drawing/2014/chart" uri="{C3380CC4-5D6E-409C-BE32-E72D297353CC}">
              <c16:uniqueId val="{00000000-9F03-4222-92B6-C308AB5243EB}"/>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Leads</a:t>
            </a:r>
            <a:r>
              <a:rPr lang="en-IN" b="1" baseline="0"/>
              <a:t> Distribution Month wise</a:t>
            </a:r>
            <a:endParaRPr lang="en-IN" b="1"/>
          </a:p>
        </c:rich>
      </c:tx>
      <c:overlay val="0"/>
      <c:spPr>
        <a:no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'Dashboard &amp; Pivot table'!$AI$19</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&amp; Pivot table'!$AH$20:$AH$22</c:f>
              <c:strCache>
                <c:ptCount val="3"/>
                <c:pt idx="0">
                  <c:v>Jan 2024</c:v>
                </c:pt>
                <c:pt idx="1">
                  <c:v>Feb 2024</c:v>
                </c:pt>
                <c:pt idx="2">
                  <c:v>Mar 2024</c:v>
                </c:pt>
              </c:strCache>
            </c:strRef>
          </c:cat>
          <c:val>
            <c:numRef>
              <c:f>'Dashboard &amp; Pivot table'!$AI$20:$AI$22</c:f>
              <c:numCache>
                <c:formatCode>General</c:formatCode>
                <c:ptCount val="3"/>
                <c:pt idx="0">
                  <c:v>168</c:v>
                </c:pt>
                <c:pt idx="1">
                  <c:v>159</c:v>
                </c:pt>
                <c:pt idx="2">
                  <c:v>142</c:v>
                </c:pt>
              </c:numCache>
            </c:numRef>
          </c:val>
          <c:smooth val="0"/>
          <c:extLst>
            <c:ext xmlns:c16="http://schemas.microsoft.com/office/drawing/2014/chart" uri="{C3380CC4-5D6E-409C-BE32-E72D297353CC}">
              <c16:uniqueId val="{00000000-7029-45C3-9338-C9FA5DF4F570}"/>
            </c:ext>
          </c:extLst>
        </c:ser>
        <c:ser>
          <c:idx val="1"/>
          <c:order val="1"/>
          <c:tx>
            <c:strRef>
              <c:f>'Dashboard &amp; Pivot table'!$AJ$19</c:f>
              <c:strCache>
                <c:ptCount val="1"/>
                <c:pt idx="0">
                  <c:v>Converted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&amp; Pivot table'!$AH$20:$AH$22</c:f>
              <c:strCache>
                <c:ptCount val="3"/>
                <c:pt idx="0">
                  <c:v>Jan 2024</c:v>
                </c:pt>
                <c:pt idx="1">
                  <c:v>Feb 2024</c:v>
                </c:pt>
                <c:pt idx="2">
                  <c:v>Mar 2024</c:v>
                </c:pt>
              </c:strCache>
            </c:strRef>
          </c:cat>
          <c:val>
            <c:numRef>
              <c:f>'Dashboard &amp; Pivot table'!$AJ$20:$AJ$22</c:f>
              <c:numCache>
                <c:formatCode>General</c:formatCode>
                <c:ptCount val="3"/>
                <c:pt idx="0">
                  <c:v>60</c:v>
                </c:pt>
                <c:pt idx="1">
                  <c:v>64</c:v>
                </c:pt>
                <c:pt idx="2">
                  <c:v>53</c:v>
                </c:pt>
              </c:numCache>
            </c:numRef>
          </c:val>
          <c:smooth val="0"/>
          <c:extLst>
            <c:ext xmlns:c16="http://schemas.microsoft.com/office/drawing/2014/chart" uri="{C3380CC4-5D6E-409C-BE32-E72D297353CC}">
              <c16:uniqueId val="{00000001-7029-45C3-9338-C9FA5DF4F570}"/>
            </c:ext>
          </c:extLst>
        </c:ser>
        <c:dLbls>
          <c:dLblPos val="t"/>
          <c:showLegendKey val="0"/>
          <c:showVal val="1"/>
          <c:showCatName val="0"/>
          <c:showSerName val="0"/>
          <c:showPercent val="0"/>
          <c:showBubbleSize val="0"/>
        </c:dLbls>
        <c:smooth val="0"/>
        <c:axId val="996445744"/>
        <c:axId val="996444912"/>
      </c:lineChart>
      <c:catAx>
        <c:axId val="996445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44912"/>
        <c:crosses val="autoZero"/>
        <c:auto val="1"/>
        <c:lblAlgn val="ctr"/>
        <c:lblOffset val="100"/>
        <c:noMultiLvlLbl val="0"/>
      </c:catAx>
      <c:valAx>
        <c:axId val="996444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Total</a:t>
                </a:r>
                <a:r>
                  <a:rPr lang="en-IN" baseline="0"/>
                  <a:t> </a:t>
                </a:r>
                <a:r>
                  <a:rPr lang="en-IN"/>
                  <a:t>Leads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6445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16</xdr:col>
      <xdr:colOff>457200</xdr:colOff>
      <xdr:row>8</xdr:row>
      <xdr:rowOff>15240</xdr:rowOff>
    </xdr:from>
    <xdr:to>
      <xdr:col>20</xdr:col>
      <xdr:colOff>15240</xdr:colOff>
      <xdr:row>17</xdr:row>
      <xdr:rowOff>152400</xdr:rowOff>
    </xdr:to>
    <mc:AlternateContent xmlns:mc="http://schemas.openxmlformats.org/markup-compatibility/2006" xmlns:a14="http://schemas.microsoft.com/office/drawing/2010/main">
      <mc:Choice Requires="a14">
        <xdr:graphicFrame macro="">
          <xdr:nvGraphicFramePr>
            <xdr:cNvPr id="2" name="Status">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0210800" y="1706880"/>
              <a:ext cx="1905000" cy="17830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457200</xdr:colOff>
      <xdr:row>18</xdr:row>
      <xdr:rowOff>7620</xdr:rowOff>
    </xdr:from>
    <xdr:to>
      <xdr:col>20</xdr:col>
      <xdr:colOff>38100</xdr:colOff>
      <xdr:row>33</xdr:row>
      <xdr:rowOff>144420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0210800" y="3528060"/>
              <a:ext cx="1927860" cy="288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274320</xdr:colOff>
      <xdr:row>2</xdr:row>
      <xdr:rowOff>0</xdr:rowOff>
    </xdr:from>
    <xdr:to>
      <xdr:col>16</xdr:col>
      <xdr:colOff>437520</xdr:colOff>
      <xdr:row>17</xdr:row>
      <xdr:rowOff>136800</xdr:rowOff>
    </xdr:to>
    <xdr:graphicFrame macro="">
      <xdr:nvGraphicFramePr>
        <xdr:cNvPr id="4" name="Chart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60960</xdr:colOff>
      <xdr:row>18</xdr:row>
      <xdr:rowOff>49530</xdr:rowOff>
    </xdr:from>
    <xdr:to>
      <xdr:col>8</xdr:col>
      <xdr:colOff>224160</xdr:colOff>
      <xdr:row>34</xdr:row>
      <xdr:rowOff>3450</xdr:rowOff>
    </xdr:to>
    <xdr:graphicFrame macro="">
      <xdr:nvGraphicFramePr>
        <xdr:cNvPr id="5" name="Chart 4">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xdr:row>
      <xdr:rowOff>0</xdr:rowOff>
    </xdr:from>
    <xdr:to>
      <xdr:col>8</xdr:col>
      <xdr:colOff>201300</xdr:colOff>
      <xdr:row>17</xdr:row>
      <xdr:rowOff>136800</xdr:rowOff>
    </xdr:to>
    <xdr:graphicFrame macro="">
      <xdr:nvGraphicFramePr>
        <xdr:cNvPr id="6" name="Chart 5">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281940</xdr:colOff>
      <xdr:row>18</xdr:row>
      <xdr:rowOff>38100</xdr:rowOff>
    </xdr:from>
    <xdr:to>
      <xdr:col>16</xdr:col>
      <xdr:colOff>445140</xdr:colOff>
      <xdr:row>33</xdr:row>
      <xdr:rowOff>174900</xdr:rowOff>
    </xdr:to>
    <xdr:graphicFrame macro="">
      <xdr:nvGraphicFramePr>
        <xdr:cNvPr id="7" name="Chart 6">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18</xdr:row>
      <xdr:rowOff>0</xdr:rowOff>
    </xdr:from>
    <xdr:to>
      <xdr:col>19</xdr:col>
      <xdr:colOff>601980</xdr:colOff>
      <xdr:row>18</xdr:row>
      <xdr:rowOff>15240</xdr:rowOff>
    </xdr:to>
    <xdr:cxnSp macro="">
      <xdr:nvCxnSpPr>
        <xdr:cNvPr id="9" name="Straight Connector 8">
          <a:extLst>
            <a:ext uri="{FF2B5EF4-FFF2-40B4-BE49-F238E27FC236}">
              <a16:creationId xmlns:a16="http://schemas.microsoft.com/office/drawing/2014/main" id="{00000000-0008-0000-0300-000009000000}"/>
            </a:ext>
          </a:extLst>
        </xdr:cNvPr>
        <xdr:cNvCxnSpPr/>
      </xdr:nvCxnSpPr>
      <xdr:spPr>
        <a:xfrm flipV="1">
          <a:off x="0" y="3459480"/>
          <a:ext cx="12184380" cy="1524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0</xdr:col>
      <xdr:colOff>0</xdr:colOff>
      <xdr:row>33</xdr:row>
      <xdr:rowOff>137160</xdr:rowOff>
    </xdr:from>
    <xdr:to>
      <xdr:col>20</xdr:col>
      <xdr:colOff>45720</xdr:colOff>
      <xdr:row>34</xdr:row>
      <xdr:rowOff>53340</xdr:rowOff>
    </xdr:to>
    <xdr:cxnSp macro="">
      <xdr:nvCxnSpPr>
        <xdr:cNvPr id="12" name="Straight Connector 11">
          <a:extLst>
            <a:ext uri="{FF2B5EF4-FFF2-40B4-BE49-F238E27FC236}">
              <a16:creationId xmlns:a16="http://schemas.microsoft.com/office/drawing/2014/main" id="{00000000-0008-0000-0300-00000C000000}"/>
            </a:ext>
          </a:extLst>
        </xdr:cNvPr>
        <xdr:cNvCxnSpPr/>
      </xdr:nvCxnSpPr>
      <xdr:spPr>
        <a:xfrm flipV="1">
          <a:off x="0" y="6339840"/>
          <a:ext cx="12237720" cy="9906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20</xdr:col>
      <xdr:colOff>0</xdr:colOff>
      <xdr:row>0</xdr:row>
      <xdr:rowOff>0</xdr:rowOff>
    </xdr:from>
    <xdr:to>
      <xdr:col>20</xdr:col>
      <xdr:colOff>53340</xdr:colOff>
      <xdr:row>33</xdr:row>
      <xdr:rowOff>129540</xdr:rowOff>
    </xdr:to>
    <xdr:cxnSp macro="">
      <xdr:nvCxnSpPr>
        <xdr:cNvPr id="14" name="Straight Connector 13">
          <a:extLst>
            <a:ext uri="{FF2B5EF4-FFF2-40B4-BE49-F238E27FC236}">
              <a16:creationId xmlns:a16="http://schemas.microsoft.com/office/drawing/2014/main" id="{00000000-0008-0000-0300-00000E000000}"/>
            </a:ext>
          </a:extLst>
        </xdr:cNvPr>
        <xdr:cNvCxnSpPr/>
      </xdr:nvCxnSpPr>
      <xdr:spPr>
        <a:xfrm>
          <a:off x="12192000" y="0"/>
          <a:ext cx="53340" cy="633222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228600</xdr:colOff>
      <xdr:row>2</xdr:row>
      <xdr:rowOff>0</xdr:rowOff>
    </xdr:from>
    <xdr:to>
      <xdr:col>8</xdr:col>
      <xdr:colOff>259080</xdr:colOff>
      <xdr:row>33</xdr:row>
      <xdr:rowOff>175260</xdr:rowOff>
    </xdr:to>
    <xdr:cxnSp macro="">
      <xdr:nvCxnSpPr>
        <xdr:cNvPr id="25" name="Straight Connector 24">
          <a:extLst>
            <a:ext uri="{FF2B5EF4-FFF2-40B4-BE49-F238E27FC236}">
              <a16:creationId xmlns:a16="http://schemas.microsoft.com/office/drawing/2014/main" id="{00000000-0008-0000-0300-000019000000}"/>
            </a:ext>
          </a:extLst>
        </xdr:cNvPr>
        <xdr:cNvCxnSpPr/>
      </xdr:nvCxnSpPr>
      <xdr:spPr>
        <a:xfrm>
          <a:off x="5105400" y="533400"/>
          <a:ext cx="30480" cy="584454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16</xdr:col>
      <xdr:colOff>434340</xdr:colOff>
      <xdr:row>1</xdr:row>
      <xdr:rowOff>259080</xdr:rowOff>
    </xdr:from>
    <xdr:to>
      <xdr:col>16</xdr:col>
      <xdr:colOff>457200</xdr:colOff>
      <xdr:row>33</xdr:row>
      <xdr:rowOff>121920</xdr:rowOff>
    </xdr:to>
    <xdr:cxnSp macro="">
      <xdr:nvCxnSpPr>
        <xdr:cNvPr id="27" name="Straight Connector 26">
          <a:extLst>
            <a:ext uri="{FF2B5EF4-FFF2-40B4-BE49-F238E27FC236}">
              <a16:creationId xmlns:a16="http://schemas.microsoft.com/office/drawing/2014/main" id="{00000000-0008-0000-0300-00001B000000}"/>
            </a:ext>
          </a:extLst>
        </xdr:cNvPr>
        <xdr:cNvCxnSpPr/>
      </xdr:nvCxnSpPr>
      <xdr:spPr>
        <a:xfrm>
          <a:off x="10187940" y="525780"/>
          <a:ext cx="22860" cy="5798820"/>
        </a:xfrm>
        <a:prstGeom prst="line">
          <a:avLst/>
        </a:prstGeom>
        <a:ln w="12700">
          <a:solidFill>
            <a:schemeClr val="tx1"/>
          </a:solidFill>
        </a:ln>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17</xdr:col>
          <xdr:colOff>464820</xdr:colOff>
          <xdr:row>3</xdr:row>
          <xdr:rowOff>30480</xdr:rowOff>
        </xdr:from>
        <xdr:to>
          <xdr:col>18</xdr:col>
          <xdr:colOff>487680</xdr:colOff>
          <xdr:row>4</xdr:row>
          <xdr:rowOff>144780</xdr:rowOff>
        </xdr:to>
        <xdr:sp macro="" textlink="">
          <xdr:nvSpPr>
            <xdr:cNvPr id="1025" name="TextBox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0.419986689813" createdVersion="7" refreshedVersion="7" minRefreshableVersion="3" recordCount="500" xr:uid="{9770635F-A0BC-46F1-82AE-1C29EF45B957}">
  <cacheSource type="worksheet">
    <worksheetSource name="Table1"/>
  </cacheSource>
  <cacheFields count="10">
    <cacheField name="Lead ID" numFmtId="0">
      <sharedItems/>
    </cacheField>
    <cacheField name="Agent Name" numFmtId="0">
      <sharedItems count="12">
        <s v="R.Singh"/>
        <s v="Karan Patel"/>
        <s v="Anjali Gupta"/>
        <s v="A.Gupta"/>
        <s v="Rohit Singh"/>
        <s v="Divya Nair"/>
        <s v="Priya Mehta"/>
        <s v="Amit Verma"/>
        <s v="Sneha Joshi"/>
        <s v="Rahul Sharma"/>
        <s v="R.Sharma"/>
        <s v="A.Verma"/>
      </sharedItems>
    </cacheField>
    <cacheField name="Lead Source" numFmtId="0">
      <sharedItems containsBlank="1" count="7">
        <s v="Referral"/>
        <s v="Meta Ads"/>
        <s v="Google Ads"/>
        <s v="IVR"/>
        <s v="Walk-in"/>
        <m/>
        <s v="Organic"/>
      </sharedItems>
    </cacheField>
    <cacheField name="Phone Number" numFmtId="0">
      <sharedItems containsString="0" containsBlank="1" containsNumber="1" containsInteger="1" minValue="9002921851" maxValue="9996507527"/>
    </cacheField>
    <cacheField name="Email" numFmtId="0">
      <sharedItems containsBlank="1"/>
    </cacheField>
    <cacheField name="Lead Date" numFmtId="14">
      <sharedItems/>
    </cacheField>
    <cacheField name="Status" numFmtId="0">
      <sharedItems count="5">
        <s v="Converted"/>
        <s v="Open"/>
        <s v="Not Interested"/>
        <s v="Callback"/>
        <s v="Lost"/>
      </sharedItems>
    </cacheField>
    <cacheField name="City" numFmtId="0">
      <sharedItems count="9">
        <s v="Chennai"/>
        <s v="Pune"/>
        <s v="Indore"/>
        <s v="Mumbai"/>
        <s v="Delhi"/>
        <s v="Hyderabad"/>
        <s v="Jaipur"/>
        <s v="BHOPAL"/>
        <s v="Bangalore"/>
      </sharedItems>
    </cacheField>
    <cacheField name="Follow-up Done" numFmtId="0">
      <sharedItems containsBlank="1"/>
    </cacheField>
    <cacheField name="Remarks" numFmtId="0">
      <sharedItems containsBlank="1"/>
    </cacheField>
  </cacheFields>
  <extLst>
    <ext xmlns:x14="http://schemas.microsoft.com/office/spreadsheetml/2009/9/main" uri="{725AE2AE-9491-48be-B2B4-4EB974FC3084}">
      <x14:pivotCacheDefinition pivotCacheId="11100928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LD0364"/>
    <x v="0"/>
    <x v="0"/>
    <n v="9804436995"/>
    <s v="rohit.singh66@gmail.com"/>
    <s v="03-Jan-2024"/>
    <x v="0"/>
    <x v="0"/>
    <s v="Yes"/>
    <s v="Demo done"/>
  </r>
  <r>
    <s v="LD0224"/>
    <x v="1"/>
    <x v="1"/>
    <m/>
    <s v="karan.patel32@gmail.com"/>
    <s v="19-Jan-2024"/>
    <x v="0"/>
    <x v="1"/>
    <s v="No"/>
    <s v="Wrong number"/>
  </r>
  <r>
    <s v="LD0303"/>
    <x v="2"/>
    <x v="2"/>
    <m/>
    <s v="anjali.gupta71@gmail.com"/>
    <s v="27-Feb-2024"/>
    <x v="0"/>
    <x v="1"/>
    <m/>
    <s v="Price issue"/>
  </r>
  <r>
    <s v="LD0087"/>
    <x v="3"/>
    <x v="2"/>
    <n v="9345581223"/>
    <s v="anjali.gupta9@gmail.com"/>
    <s v="23-Feb-2024"/>
    <x v="1"/>
    <x v="2"/>
    <s v="Yes"/>
    <s v="Demo done"/>
  </r>
  <r>
    <s v="LD0319"/>
    <x v="4"/>
    <x v="3"/>
    <m/>
    <s v="rohit.singh29@gmail.com"/>
    <s v="03-Mar-2024"/>
    <x v="2"/>
    <x v="3"/>
    <s v="No"/>
    <s v="Closed deal"/>
  </r>
  <r>
    <s v="LD0049"/>
    <x v="0"/>
    <x v="1"/>
    <m/>
    <m/>
    <s v="18-Feb-2024"/>
    <x v="3"/>
    <x v="0"/>
    <m/>
    <m/>
  </r>
  <r>
    <s v="LD0342"/>
    <x v="1"/>
    <x v="2"/>
    <n v="9080531003"/>
    <s v="karan.patel31@gmail.com"/>
    <s v="17-Jan-2024"/>
    <x v="0"/>
    <x v="1"/>
    <s v="No"/>
    <s v="Price issue"/>
  </r>
  <r>
    <s v="LD0115"/>
    <x v="5"/>
    <x v="4"/>
    <m/>
    <s v="divya.nair81@gmail.com"/>
    <s v="01-Feb-2024"/>
    <x v="2"/>
    <x v="4"/>
    <m/>
    <s v="Interested"/>
  </r>
  <r>
    <s v="LD0386"/>
    <x v="5"/>
    <x v="2"/>
    <n v="9506716572"/>
    <s v="divya.nair84@gmail.com"/>
    <s v="04-Feb-2024"/>
    <x v="0"/>
    <x v="5"/>
    <s v="Yes"/>
    <s v="Demo done"/>
  </r>
  <r>
    <s v="LD0474"/>
    <x v="6"/>
    <x v="1"/>
    <n v="9996507527"/>
    <s v="priya.mehta36@gmail.com"/>
    <s v="17-Mar-2024"/>
    <x v="1"/>
    <x v="1"/>
    <s v="Yes"/>
    <s v="Demo done"/>
  </r>
  <r>
    <s v="LD0097"/>
    <x v="4"/>
    <x v="1"/>
    <m/>
    <s v="rohit.singh68@gmail.com"/>
    <s v="14-Feb-2024"/>
    <x v="1"/>
    <x v="6"/>
    <s v="Yes"/>
    <s v="Price issue"/>
  </r>
  <r>
    <s v="LD0096"/>
    <x v="1"/>
    <x v="1"/>
    <n v="9182337498"/>
    <m/>
    <s v="25-Jan-2024"/>
    <x v="3"/>
    <x v="5"/>
    <s v="Yes"/>
    <s v="Wrong number"/>
  </r>
  <r>
    <s v="LD0009"/>
    <x v="7"/>
    <x v="5"/>
    <n v="9842710947"/>
    <m/>
    <s v="07-Jan-2024"/>
    <x v="0"/>
    <x v="4"/>
    <s v="No"/>
    <s v="Follow up pending"/>
  </r>
  <r>
    <s v="LD0111"/>
    <x v="6"/>
    <x v="2"/>
    <n v="9294131869"/>
    <s v="priya.mehta67@gmail.com"/>
    <s v="18-Feb-2024"/>
    <x v="0"/>
    <x v="2"/>
    <s v="Yes"/>
    <s v="Interested"/>
  </r>
  <r>
    <s v="LD0069"/>
    <x v="6"/>
    <x v="0"/>
    <m/>
    <s v="priya.mehta30@gmail.com"/>
    <s v="06-Feb-2024"/>
    <x v="0"/>
    <x v="7"/>
    <s v="No"/>
    <s v="Price issue"/>
  </r>
  <r>
    <s v="LD0155"/>
    <x v="8"/>
    <x v="5"/>
    <n v="9242102499"/>
    <s v="sneha.joshi39@gmail.com"/>
    <s v="30-Mar-2024"/>
    <x v="2"/>
    <x v="6"/>
    <s v="No"/>
    <s v="Call back tomorrow"/>
  </r>
  <r>
    <s v="LD0377"/>
    <x v="9"/>
    <x v="3"/>
    <m/>
    <s v="rahul.sharma84@gmail.com"/>
    <s v="26-Feb-2024"/>
    <x v="4"/>
    <x v="2"/>
    <s v="No"/>
    <s v="Follow up pending"/>
  </r>
  <r>
    <s v="LD0199"/>
    <x v="6"/>
    <x v="0"/>
    <n v="9125674680"/>
    <m/>
    <s v="02-Feb-2024"/>
    <x v="0"/>
    <x v="2"/>
    <m/>
    <s v="Wrong number"/>
  </r>
  <r>
    <s v="LD0177"/>
    <x v="9"/>
    <x v="6"/>
    <n v="9038597703"/>
    <s v="rahul.sharma57@gmail.com"/>
    <s v="30-Mar-2024"/>
    <x v="0"/>
    <x v="7"/>
    <s v="No"/>
    <s v="Demo done"/>
  </r>
  <r>
    <s v="LD0490"/>
    <x v="7"/>
    <x v="3"/>
    <m/>
    <s v="amit.verma61@gmail.com"/>
    <s v="01-Feb-2024"/>
    <x v="4"/>
    <x v="8"/>
    <m/>
    <s v="Call back tomorrow"/>
  </r>
  <r>
    <s v="LD0371"/>
    <x v="1"/>
    <x v="5"/>
    <n v="9404499727"/>
    <s v="karan.patel98@gmail.com"/>
    <s v="10-Mar-2024"/>
    <x v="0"/>
    <x v="1"/>
    <s v="No"/>
    <s v="Demo done"/>
  </r>
  <r>
    <s v="LD0119"/>
    <x v="0"/>
    <x v="6"/>
    <n v="9576627028"/>
    <m/>
    <s v="26-Feb-2024"/>
    <x v="0"/>
    <x v="7"/>
    <s v="No"/>
    <m/>
  </r>
  <r>
    <s v="LD0379"/>
    <x v="7"/>
    <x v="0"/>
    <n v="9961586578"/>
    <s v="amit.verma88@gmail.com"/>
    <s v="02-Jun-2024"/>
    <x v="0"/>
    <x v="4"/>
    <m/>
    <s v="Call back tomorrow"/>
  </r>
  <r>
    <s v="LD0352"/>
    <x v="3"/>
    <x v="2"/>
    <n v="9504556238"/>
    <s v="anjali.gupta22@gmail.com"/>
    <s v="23-Jan-2024"/>
    <x v="0"/>
    <x v="1"/>
    <s v="No"/>
    <s v="Not picking up"/>
  </r>
  <r>
    <s v="LD0365"/>
    <x v="8"/>
    <x v="6"/>
    <n v="9074821759"/>
    <s v="sneha.joshi33@gmail.com"/>
    <s v="28-Feb-2024"/>
    <x v="3"/>
    <x v="6"/>
    <s v="Yes"/>
    <s v="Demo done"/>
  </r>
  <r>
    <s v="LD0408"/>
    <x v="4"/>
    <x v="0"/>
    <m/>
    <s v="rohit.singh46@gmail.com"/>
    <s v="29-Jan-2024"/>
    <x v="2"/>
    <x v="8"/>
    <s v="No"/>
    <s v="Call back tomorrow"/>
  </r>
  <r>
    <s v="LD0362"/>
    <x v="10"/>
    <x v="2"/>
    <m/>
    <s v="rahul.sharma68@gmail.com"/>
    <s v="05-Mar-2024"/>
    <x v="4"/>
    <x v="6"/>
    <m/>
    <s v="Price issue"/>
  </r>
  <r>
    <s v="LD0457"/>
    <x v="5"/>
    <x v="2"/>
    <n v="9368516048"/>
    <s v="divya.nair87@gmail.com"/>
    <s v="03-Feb-2024"/>
    <x v="1"/>
    <x v="1"/>
    <s v="No"/>
    <s v="Interested"/>
  </r>
  <r>
    <s v="LD0341"/>
    <x v="5"/>
    <x v="4"/>
    <n v="9461200471"/>
    <s v="divya.nair50@gmail.com"/>
    <s v="28-Feb-2024"/>
    <x v="0"/>
    <x v="8"/>
    <s v="No"/>
    <s v="Call back tomorrow"/>
  </r>
  <r>
    <s v="LD0447"/>
    <x v="2"/>
    <x v="0"/>
    <m/>
    <s v="anjali.gupta25@gmail.com"/>
    <s v="16-Jan-2024"/>
    <x v="0"/>
    <x v="3"/>
    <s v="Yes"/>
    <s v="Closed deal"/>
  </r>
  <r>
    <s v="LD0133"/>
    <x v="8"/>
    <x v="1"/>
    <n v="9839335290"/>
    <m/>
    <s v="17-Jan-2024"/>
    <x v="4"/>
    <x v="3"/>
    <s v="No"/>
    <s v="Interested"/>
  </r>
  <r>
    <s v="LD0482"/>
    <x v="5"/>
    <x v="2"/>
    <m/>
    <s v="divya.nair58@gmail.com"/>
    <s v="03-May-2024"/>
    <x v="1"/>
    <x v="5"/>
    <s v="No"/>
    <s v="Interested"/>
  </r>
  <r>
    <s v="LD0417"/>
    <x v="9"/>
    <x v="6"/>
    <n v="9771159212"/>
    <s v="rahul.sharma92@gmail.com"/>
    <s v="11-Feb-2024"/>
    <x v="2"/>
    <x v="2"/>
    <s v="Yes"/>
    <s v="Call back tomorrow"/>
  </r>
  <r>
    <s v="LD0202"/>
    <x v="8"/>
    <x v="1"/>
    <n v="9576615654"/>
    <s v="sneha.joshi61@gmail.com"/>
    <s v="09-Jan-2024"/>
    <x v="0"/>
    <x v="4"/>
    <s v="No"/>
    <s v="Closed deal"/>
  </r>
  <r>
    <s v="LD0397"/>
    <x v="7"/>
    <x v="5"/>
    <n v="9851656049"/>
    <s v="amit.verma28@gmail.com"/>
    <s v="20-Jan-2024"/>
    <x v="3"/>
    <x v="0"/>
    <m/>
    <s v="Wrong number"/>
  </r>
  <r>
    <s v="LD0430"/>
    <x v="5"/>
    <x v="3"/>
    <n v="9689980940"/>
    <s v="divya.nair44@gmail.com"/>
    <s v="14-Feb-2024"/>
    <x v="4"/>
    <x v="2"/>
    <s v="Yes"/>
    <s v="Not picking up"/>
  </r>
  <r>
    <s v="LD0324"/>
    <x v="9"/>
    <x v="1"/>
    <n v="9675254599"/>
    <m/>
    <s v="20-Mar-2024"/>
    <x v="0"/>
    <x v="2"/>
    <s v="No"/>
    <s v="Follow up pending"/>
  </r>
  <r>
    <s v="LD0152"/>
    <x v="4"/>
    <x v="3"/>
    <n v="9561497840"/>
    <s v="rohit.singh1@gmail.com"/>
    <s v="27-Jan-2024"/>
    <x v="3"/>
    <x v="5"/>
    <s v="Yes"/>
    <s v="Closed deal"/>
  </r>
  <r>
    <s v="LD0060"/>
    <x v="6"/>
    <x v="6"/>
    <m/>
    <s v="priya.mehta59@gmail.com"/>
    <s v="10-Jan-2024"/>
    <x v="0"/>
    <x v="2"/>
    <s v="Yes"/>
    <s v="Call back tomorrow"/>
  </r>
  <r>
    <s v="LD0147"/>
    <x v="4"/>
    <x v="1"/>
    <n v="9751613696"/>
    <m/>
    <s v="09-Feb-2024"/>
    <x v="3"/>
    <x v="8"/>
    <s v="Yes"/>
    <s v="Wrong number"/>
  </r>
  <r>
    <s v="LD0266"/>
    <x v="6"/>
    <x v="5"/>
    <n v="9523124329"/>
    <s v="priya.mehta23@gmail.com"/>
    <s v="21-Mar-2024"/>
    <x v="0"/>
    <x v="6"/>
    <s v="No"/>
    <s v="Closed deal"/>
  </r>
  <r>
    <s v="LD0368"/>
    <x v="5"/>
    <x v="6"/>
    <n v="9449058147"/>
    <m/>
    <s v="17-Feb-2024"/>
    <x v="0"/>
    <x v="4"/>
    <s v="Yes"/>
    <s v="Wrong number"/>
  </r>
  <r>
    <s v="LD0154"/>
    <x v="4"/>
    <x v="5"/>
    <n v="9793597820"/>
    <m/>
    <s v="13-Feb-2024"/>
    <x v="4"/>
    <x v="7"/>
    <s v="No"/>
    <s v="Follow up pending"/>
  </r>
  <r>
    <s v="LD0431"/>
    <x v="3"/>
    <x v="0"/>
    <m/>
    <s v="anjali.gupta85@gmail.com"/>
    <s v="18-Mar-2024"/>
    <x v="1"/>
    <x v="8"/>
    <s v="Yes"/>
    <s v="Price issue"/>
  </r>
  <r>
    <s v="LD0038"/>
    <x v="0"/>
    <x v="2"/>
    <n v="9865281685"/>
    <m/>
    <s v="28-Jan-2024"/>
    <x v="0"/>
    <x v="8"/>
    <s v="No"/>
    <s v="Call back tomorrow"/>
  </r>
  <r>
    <s v="LD0213"/>
    <x v="1"/>
    <x v="3"/>
    <m/>
    <s v="karan.patel22@gmail.com"/>
    <s v="26-Feb-2024"/>
    <x v="0"/>
    <x v="1"/>
    <s v="No"/>
    <s v="Price issue"/>
  </r>
  <r>
    <s v="LD0410"/>
    <x v="3"/>
    <x v="0"/>
    <n v="9359774688"/>
    <s v="anjali.gupta78@gmail.com"/>
    <s v="18-Jan-2024"/>
    <x v="1"/>
    <x v="0"/>
    <s v="Yes"/>
    <s v="Call back tomorrow"/>
  </r>
  <r>
    <s v="LD0262"/>
    <x v="6"/>
    <x v="5"/>
    <n v="9478261375"/>
    <s v="priya.mehta48@gmail.com"/>
    <s v="31-Jan-2024"/>
    <x v="0"/>
    <x v="3"/>
    <s v="Yes"/>
    <s v="Call back tomorrow"/>
  </r>
  <r>
    <s v="LD0242"/>
    <x v="5"/>
    <x v="0"/>
    <m/>
    <m/>
    <s v="18-Mar-2024"/>
    <x v="0"/>
    <x v="1"/>
    <s v="Yes"/>
    <s v="Call back tomorrow"/>
  </r>
  <r>
    <s v="LD0185"/>
    <x v="9"/>
    <x v="5"/>
    <n v="9711798089"/>
    <s v="rahul.sharma1@gmail.com"/>
    <s v="19-Mar-2024"/>
    <x v="3"/>
    <x v="8"/>
    <s v="No"/>
    <s v="Call back tomorrow"/>
  </r>
  <r>
    <s v="LD0156"/>
    <x v="5"/>
    <x v="3"/>
    <m/>
    <m/>
    <s v="09-Jan-2024"/>
    <x v="3"/>
    <x v="4"/>
    <m/>
    <s v="Closed deal"/>
  </r>
  <r>
    <s v="LD0471"/>
    <x v="7"/>
    <x v="0"/>
    <n v="9772217043"/>
    <s v="amit.verma41@gmail.com"/>
    <s v="09-Feb-2024"/>
    <x v="0"/>
    <x v="1"/>
    <s v="Yes"/>
    <s v="Closed deal"/>
  </r>
  <r>
    <s v="LD0434"/>
    <x v="9"/>
    <x v="2"/>
    <m/>
    <s v="rahul.sharma94@gmail.com"/>
    <s v="24-Feb-2024"/>
    <x v="0"/>
    <x v="8"/>
    <s v="Yes"/>
    <s v="Price issue"/>
  </r>
  <r>
    <s v="LD0318"/>
    <x v="5"/>
    <x v="5"/>
    <m/>
    <s v="divya.nair56@gmail.com"/>
    <s v="05-Feb-2024"/>
    <x v="0"/>
    <x v="2"/>
    <s v="Yes"/>
    <s v="Wrong number"/>
  </r>
  <r>
    <s v="LD0042"/>
    <x v="7"/>
    <x v="3"/>
    <n v="9021355690"/>
    <s v="amit.verma48@gmail.com"/>
    <s v="17-Feb-2024"/>
    <x v="0"/>
    <x v="0"/>
    <s v="No"/>
    <s v="Closed deal"/>
  </r>
  <r>
    <s v="LD0320"/>
    <x v="1"/>
    <x v="2"/>
    <n v="9786814473"/>
    <s v="karan.patel63@gmail.com"/>
    <s v="26-Jan-2024"/>
    <x v="4"/>
    <x v="6"/>
    <s v="No"/>
    <s v="Follow up pending"/>
  </r>
  <r>
    <s v="LD0054"/>
    <x v="6"/>
    <x v="4"/>
    <n v="9884422583"/>
    <s v="priya.mehta31@gmail.com"/>
    <s v="04-Mar-2024"/>
    <x v="1"/>
    <x v="0"/>
    <s v="No"/>
    <s v="Wrong number"/>
  </r>
  <r>
    <s v="LD0422"/>
    <x v="7"/>
    <x v="2"/>
    <m/>
    <m/>
    <s v="29-Feb-2024"/>
    <x v="4"/>
    <x v="8"/>
    <m/>
    <s v="Not picking up"/>
  </r>
  <r>
    <s v="LD0241"/>
    <x v="4"/>
    <x v="2"/>
    <n v="9824225358"/>
    <s v="rohit.singh82@gmail.com"/>
    <s v="11-Mar-2024"/>
    <x v="4"/>
    <x v="4"/>
    <s v="Yes"/>
    <s v="Not picking up"/>
  </r>
  <r>
    <s v="LD0464"/>
    <x v="11"/>
    <x v="4"/>
    <m/>
    <s v="amit.verma4@gmail.com"/>
    <s v="04-Mar-2024"/>
    <x v="2"/>
    <x v="2"/>
    <s v="Yes"/>
    <s v="Follow up pending"/>
  </r>
  <r>
    <s v="LD0163"/>
    <x v="6"/>
    <x v="6"/>
    <n v="9735925556"/>
    <s v="priya.mehta14@gmail.com"/>
    <s v="02-Oct-2024"/>
    <x v="0"/>
    <x v="6"/>
    <s v="No"/>
    <s v="Not picking up"/>
  </r>
  <r>
    <s v="LD0022"/>
    <x v="6"/>
    <x v="6"/>
    <n v="9632595327"/>
    <s v="priya.mehta64@gmail.com"/>
    <s v="03-Jan-2024"/>
    <x v="0"/>
    <x v="1"/>
    <s v="No"/>
    <s v="Closed deal"/>
  </r>
  <r>
    <s v="LD0106"/>
    <x v="9"/>
    <x v="3"/>
    <n v="9480162456"/>
    <m/>
    <s v="01-Jul-2024"/>
    <x v="1"/>
    <x v="4"/>
    <s v="No"/>
    <s v="Wrong number"/>
  </r>
  <r>
    <s v="LD0407"/>
    <x v="2"/>
    <x v="3"/>
    <n v="9121655852"/>
    <s v="anjali.gupta6@gmail.com"/>
    <s v="06-Jan-2024"/>
    <x v="4"/>
    <x v="6"/>
    <s v="Yes"/>
    <s v="Follow up pending"/>
  </r>
  <r>
    <s v="LD0469"/>
    <x v="7"/>
    <x v="1"/>
    <m/>
    <s v="amit.verma73@gmail.com"/>
    <s v="08-Feb-2024"/>
    <x v="1"/>
    <x v="4"/>
    <s v="No"/>
    <s v="Price issue"/>
  </r>
  <r>
    <s v="LD0484"/>
    <x v="9"/>
    <x v="4"/>
    <n v="9930972896"/>
    <s v="rahul.sharma74@gmail.com"/>
    <s v="30-Mar-2024"/>
    <x v="3"/>
    <x v="7"/>
    <s v="Yes"/>
    <m/>
  </r>
  <r>
    <s v="LD0148"/>
    <x v="7"/>
    <x v="6"/>
    <n v="9970283857"/>
    <s v="amit.verma59@gmail.com"/>
    <s v="09-Mar-2024"/>
    <x v="1"/>
    <x v="5"/>
    <s v="Yes"/>
    <s v="Follow up pending"/>
  </r>
  <r>
    <s v="LD0101"/>
    <x v="8"/>
    <x v="0"/>
    <n v="9443757584"/>
    <m/>
    <s v="27-Mar-2024"/>
    <x v="0"/>
    <x v="8"/>
    <s v="Yes"/>
    <s v="Interested"/>
  </r>
  <r>
    <s v="LD0458"/>
    <x v="1"/>
    <x v="6"/>
    <n v="9733848421"/>
    <s v="karan.patel7@gmail.com"/>
    <s v="26-Mar-2024"/>
    <x v="3"/>
    <x v="7"/>
    <s v="No"/>
    <s v="Closed deal"/>
  </r>
  <r>
    <s v="LD0388"/>
    <x v="2"/>
    <x v="1"/>
    <m/>
    <m/>
    <s v="01-Dec-2024"/>
    <x v="1"/>
    <x v="8"/>
    <s v="No"/>
    <s v="Not picking up"/>
  </r>
  <r>
    <s v="LD0171"/>
    <x v="9"/>
    <x v="1"/>
    <m/>
    <s v="rahul.sharma18@gmail.com"/>
    <s v="05-Mar-2024"/>
    <x v="2"/>
    <x v="4"/>
    <s v="Yes"/>
    <s v="Not picking up"/>
  </r>
  <r>
    <s v="LD0446"/>
    <x v="2"/>
    <x v="2"/>
    <n v="9493296685"/>
    <m/>
    <s v="18-Jan-2024"/>
    <x v="1"/>
    <x v="3"/>
    <s v="Yes"/>
    <m/>
  </r>
  <r>
    <s v="LD0440"/>
    <x v="8"/>
    <x v="0"/>
    <n v="9990453017"/>
    <s v="sneha.joshi91@gmail.com"/>
    <s v="09-Feb-2024"/>
    <x v="2"/>
    <x v="1"/>
    <s v="No"/>
    <s v="Not picking up"/>
  </r>
  <r>
    <s v="LD0298"/>
    <x v="3"/>
    <x v="3"/>
    <n v="9687833918"/>
    <s v="anjali.gupta73@gmail.com"/>
    <s v="15-Jan-2024"/>
    <x v="3"/>
    <x v="8"/>
    <s v="No"/>
    <s v="Closed deal"/>
  </r>
  <r>
    <s v="LD0231"/>
    <x v="2"/>
    <x v="4"/>
    <n v="9718707286"/>
    <s v="anjali.gupta87@gmail.com"/>
    <s v="09-Feb-2024"/>
    <x v="0"/>
    <x v="3"/>
    <s v="No"/>
    <s v="Demo done"/>
  </r>
  <r>
    <s v="LD0093"/>
    <x v="6"/>
    <x v="4"/>
    <m/>
    <s v="priya.mehta54@gmail.com"/>
    <s v="17-Feb-2024"/>
    <x v="0"/>
    <x v="2"/>
    <s v="No"/>
    <s v="Call back tomorrow"/>
  </r>
  <r>
    <s v="LD0270"/>
    <x v="7"/>
    <x v="5"/>
    <n v="9682300478"/>
    <s v="amit.verma32@gmail.com"/>
    <s v="28-Feb-2024"/>
    <x v="4"/>
    <x v="4"/>
    <s v="Yes"/>
    <m/>
  </r>
  <r>
    <s v="LD0142"/>
    <x v="9"/>
    <x v="2"/>
    <n v="9079030673"/>
    <s v="rahul.sharma8@gmail.com"/>
    <s v="18-Jan-2024"/>
    <x v="3"/>
    <x v="0"/>
    <s v="Yes"/>
    <s v="Closed deal"/>
  </r>
  <r>
    <s v="LD0218"/>
    <x v="8"/>
    <x v="4"/>
    <n v="9364408926"/>
    <s v="sneha.joshi83@gmail.com"/>
    <s v="26-Mar-2024"/>
    <x v="1"/>
    <x v="2"/>
    <s v="No"/>
    <s v="Price issue"/>
  </r>
  <r>
    <s v="LD0459"/>
    <x v="0"/>
    <x v="6"/>
    <n v="9342708668"/>
    <m/>
    <s v="01-Feb-2024"/>
    <x v="3"/>
    <x v="4"/>
    <s v="No"/>
    <s v="Closed deal"/>
  </r>
  <r>
    <s v="LD0250"/>
    <x v="6"/>
    <x v="1"/>
    <n v="9469901398"/>
    <s v="priya.mehta43@gmail.com"/>
    <s v="08-Feb-2024"/>
    <x v="3"/>
    <x v="4"/>
    <s v="No"/>
    <s v="Follow up pending"/>
  </r>
  <r>
    <s v="LD0335"/>
    <x v="8"/>
    <x v="6"/>
    <n v="9854678544"/>
    <s v="sneha.joshi13@gmail.com"/>
    <s v="01-Mar-2024"/>
    <x v="3"/>
    <x v="2"/>
    <s v="Yes"/>
    <s v="Demo done"/>
  </r>
  <r>
    <s v="LD0310"/>
    <x v="7"/>
    <x v="3"/>
    <n v="9642353693"/>
    <s v="amit.verma44@gmail.com"/>
    <s v="02-Feb-2024"/>
    <x v="0"/>
    <x v="0"/>
    <s v="No"/>
    <s v="Not picking up"/>
  </r>
  <r>
    <s v="LD0103"/>
    <x v="3"/>
    <x v="3"/>
    <m/>
    <s v="anjali.gupta59@gmail.com"/>
    <s v="17-Feb-2024"/>
    <x v="0"/>
    <x v="3"/>
    <s v="Yes"/>
    <s v="Wrong number"/>
  </r>
  <r>
    <s v="LD0023"/>
    <x v="4"/>
    <x v="5"/>
    <n v="9840862118"/>
    <s v="rohit.singh33@gmail.com"/>
    <s v="15-Feb-2024"/>
    <x v="0"/>
    <x v="7"/>
    <s v="No"/>
    <s v="Follow up pending"/>
  </r>
  <r>
    <s v="LD0347"/>
    <x v="8"/>
    <x v="5"/>
    <m/>
    <s v="sneha.joshi56@gmail.com"/>
    <s v="23-Mar-2024"/>
    <x v="0"/>
    <x v="3"/>
    <s v="No"/>
    <s v="Demo done"/>
  </r>
  <r>
    <s v="LD0204"/>
    <x v="2"/>
    <x v="5"/>
    <n v="9489025039"/>
    <s v="anjali.gupta51@gmail.com"/>
    <s v="10-Jan-2024"/>
    <x v="4"/>
    <x v="2"/>
    <s v="No"/>
    <s v="Wrong number"/>
  </r>
  <r>
    <s v="LD0112"/>
    <x v="5"/>
    <x v="1"/>
    <m/>
    <s v="divya.nair42@gmail.com"/>
    <s v="04-Jan-2024"/>
    <x v="0"/>
    <x v="0"/>
    <s v="Yes"/>
    <m/>
  </r>
  <r>
    <s v="LD0080"/>
    <x v="0"/>
    <x v="4"/>
    <m/>
    <m/>
    <s v="19-Feb-2024"/>
    <x v="1"/>
    <x v="3"/>
    <s v="Yes"/>
    <s v="Follow up pending"/>
  </r>
  <r>
    <s v="LD0157"/>
    <x v="5"/>
    <x v="5"/>
    <n v="9267888610"/>
    <m/>
    <s v="17-Mar-2024"/>
    <x v="0"/>
    <x v="7"/>
    <s v="No"/>
    <m/>
  </r>
  <r>
    <s v="LD0278"/>
    <x v="6"/>
    <x v="1"/>
    <n v="9826224447"/>
    <m/>
    <s v="25-Feb-2024"/>
    <x v="0"/>
    <x v="4"/>
    <s v="Yes"/>
    <s v="Price issue"/>
  </r>
  <r>
    <s v="LD0372"/>
    <x v="8"/>
    <x v="1"/>
    <n v="9124065965"/>
    <s v="sneha.joshi84@gmail.com"/>
    <s v="17-Mar-2024"/>
    <x v="2"/>
    <x v="1"/>
    <s v="No"/>
    <s v="Closed deal"/>
  </r>
  <r>
    <s v="LD0373"/>
    <x v="7"/>
    <x v="0"/>
    <n v="9935646519"/>
    <s v="amit.verma88@gmail.com"/>
    <s v="11-Mar-2024"/>
    <x v="0"/>
    <x v="1"/>
    <s v="No"/>
    <s v="Price issue"/>
  </r>
  <r>
    <s v="LD0333"/>
    <x v="6"/>
    <x v="1"/>
    <n v="9342661797"/>
    <s v="priya.mehta89@gmail.com"/>
    <s v="23-Feb-2024"/>
    <x v="1"/>
    <x v="4"/>
    <s v="Yes"/>
    <s v="Demo done"/>
  </r>
  <r>
    <s v="LD0280"/>
    <x v="5"/>
    <x v="2"/>
    <m/>
    <s v="divya.nair74@gmail.com"/>
    <s v="29-Jan-2024"/>
    <x v="1"/>
    <x v="8"/>
    <s v="Yes"/>
    <s v="Interested"/>
  </r>
  <r>
    <s v="LD0141"/>
    <x v="2"/>
    <x v="2"/>
    <n v="9254573875"/>
    <m/>
    <s v="30-Mar-2024"/>
    <x v="1"/>
    <x v="7"/>
    <s v="Yes"/>
    <s v="Call back tomorrow"/>
  </r>
  <r>
    <s v="LD0380"/>
    <x v="10"/>
    <x v="4"/>
    <n v="9382825867"/>
    <s v="rahul.sharma24@gmail.com"/>
    <s v="22-Mar-2024"/>
    <x v="0"/>
    <x v="7"/>
    <s v="Yes"/>
    <s v="Demo done"/>
  </r>
  <r>
    <s v="LD0046"/>
    <x v="2"/>
    <x v="4"/>
    <n v="9341918255"/>
    <s v="anjali.gupta63@gmail.com"/>
    <s v="08-Mar-2024"/>
    <x v="0"/>
    <x v="4"/>
    <s v="Yes"/>
    <s v="Closed deal"/>
  </r>
  <r>
    <s v="LD0183"/>
    <x v="3"/>
    <x v="4"/>
    <n v="9991251341"/>
    <m/>
    <s v="19-Feb-2024"/>
    <x v="4"/>
    <x v="2"/>
    <s v="No"/>
    <s v="Follow up pending"/>
  </r>
  <r>
    <s v="LD0409"/>
    <x v="7"/>
    <x v="0"/>
    <n v="9257905072"/>
    <s v="amit.verma65@gmail.com"/>
    <s v="24-Mar-2024"/>
    <x v="0"/>
    <x v="2"/>
    <s v="No"/>
    <s v="Follow up pending"/>
  </r>
  <r>
    <s v="LD0181"/>
    <x v="3"/>
    <x v="5"/>
    <n v="9340438427"/>
    <s v="anjali.gupta71@gmail.com"/>
    <s v="06-Mar-2024"/>
    <x v="0"/>
    <x v="0"/>
    <s v="Yes"/>
    <s v="Interested"/>
  </r>
  <r>
    <s v="LD0391"/>
    <x v="3"/>
    <x v="2"/>
    <n v="9407451713"/>
    <s v="anjali.gupta45@gmail.com"/>
    <s v="19-Mar-2024"/>
    <x v="4"/>
    <x v="1"/>
    <m/>
    <s v="Demo done"/>
  </r>
  <r>
    <s v="LD0305"/>
    <x v="9"/>
    <x v="0"/>
    <n v="9825449481"/>
    <s v="rahul.sharma8@gmail.com"/>
    <s v="02-May-2024"/>
    <x v="4"/>
    <x v="0"/>
    <m/>
    <s v="Demo done"/>
  </r>
  <r>
    <s v="LD0229"/>
    <x v="4"/>
    <x v="4"/>
    <n v="9667116845"/>
    <s v="rohit.singh1@gmail.com"/>
    <s v="12-Jan-2024"/>
    <x v="1"/>
    <x v="2"/>
    <s v="No"/>
    <m/>
  </r>
  <r>
    <s v="LD0477"/>
    <x v="8"/>
    <x v="5"/>
    <n v="9589297500"/>
    <s v="sneha.joshi3@gmail.com"/>
    <s v="16-Jan-2024"/>
    <x v="0"/>
    <x v="2"/>
    <s v="No"/>
    <s v="Not picking up"/>
  </r>
  <r>
    <s v="LD0121"/>
    <x v="1"/>
    <x v="0"/>
    <n v="9541520643"/>
    <s v="karan.patel1@gmail.com"/>
    <s v="28-Jan-2024"/>
    <x v="0"/>
    <x v="1"/>
    <s v="Yes"/>
    <s v="Follow up pending"/>
  </r>
  <r>
    <s v="LD0075"/>
    <x v="9"/>
    <x v="5"/>
    <n v="9627136111"/>
    <s v="rahul.sharma49@gmail.com"/>
    <s v="18-Jan-2024"/>
    <x v="0"/>
    <x v="3"/>
    <s v="Yes"/>
    <s v="Not picking up"/>
  </r>
  <r>
    <s v="LD0314"/>
    <x v="2"/>
    <x v="4"/>
    <m/>
    <s v="anjali.gupta41@gmail.com"/>
    <s v="18-Jan-2024"/>
    <x v="2"/>
    <x v="1"/>
    <s v="Yes"/>
    <s v="Price issue"/>
  </r>
  <r>
    <s v="LD0107"/>
    <x v="9"/>
    <x v="1"/>
    <n v="9983640376"/>
    <s v="rahul.sharma10@gmail.com"/>
    <s v="08-Mar-2024"/>
    <x v="1"/>
    <x v="8"/>
    <s v="No"/>
    <m/>
  </r>
  <r>
    <s v="LD0005"/>
    <x v="5"/>
    <x v="5"/>
    <n v="9091043006"/>
    <s v="divya.nair99@gmail.com"/>
    <s v="23-Feb-2024"/>
    <x v="0"/>
    <x v="8"/>
    <s v="Yes"/>
    <s v="Call back tomorrow"/>
  </r>
  <r>
    <s v="LD0144"/>
    <x v="1"/>
    <x v="1"/>
    <n v="9856914630"/>
    <m/>
    <s v="25-Feb-2024"/>
    <x v="0"/>
    <x v="3"/>
    <s v="Yes"/>
    <s v="Not picking up"/>
  </r>
  <r>
    <s v="LD0020"/>
    <x v="6"/>
    <x v="4"/>
    <m/>
    <s v="priya.mehta16@gmail.com"/>
    <s v="04-Jan-2024"/>
    <x v="0"/>
    <x v="4"/>
    <s v="Yes"/>
    <s v="Call back tomorrow"/>
  </r>
  <r>
    <s v="LD0089"/>
    <x v="2"/>
    <x v="2"/>
    <m/>
    <m/>
    <s v="01-Feb-2024"/>
    <x v="1"/>
    <x v="2"/>
    <s v="No"/>
    <s v="Not picking up"/>
  </r>
  <r>
    <s v="LD0114"/>
    <x v="9"/>
    <x v="4"/>
    <n v="9353654195"/>
    <s v="rahul.sharma23@gmail.com"/>
    <s v="29-Jan-2024"/>
    <x v="0"/>
    <x v="7"/>
    <s v="No"/>
    <s v="Price issue"/>
  </r>
  <r>
    <s v="LD0498"/>
    <x v="1"/>
    <x v="5"/>
    <n v="9053494937"/>
    <s v="karan.patel99@gmail.com"/>
    <s v="26-Jan-2024"/>
    <x v="4"/>
    <x v="7"/>
    <s v="No"/>
    <s v="Interested"/>
  </r>
  <r>
    <s v="LD0214"/>
    <x v="8"/>
    <x v="5"/>
    <n v="9506413836"/>
    <s v="sneha.joshi19@gmail.com"/>
    <s v="05-Feb-2024"/>
    <x v="1"/>
    <x v="2"/>
    <s v="No"/>
    <s v="Closed deal"/>
  </r>
  <r>
    <s v="LD0376"/>
    <x v="2"/>
    <x v="3"/>
    <n v="9619906234"/>
    <s v="anjali.gupta51@gmail.com"/>
    <s v="30-Mar-2024"/>
    <x v="1"/>
    <x v="1"/>
    <s v="Yes"/>
    <s v="Demo done"/>
  </r>
  <r>
    <s v="LD0358"/>
    <x v="7"/>
    <x v="5"/>
    <n v="9277561853"/>
    <s v="amit.verma16@gmail.com"/>
    <s v="01-Dec-2024"/>
    <x v="2"/>
    <x v="3"/>
    <s v="No"/>
    <s v="Closed deal"/>
  </r>
  <r>
    <s v="LD0168"/>
    <x v="7"/>
    <x v="0"/>
    <m/>
    <m/>
    <s v="14-Jan-2024"/>
    <x v="0"/>
    <x v="7"/>
    <m/>
    <s v="Demo done"/>
  </r>
  <r>
    <s v="LD0091"/>
    <x v="11"/>
    <x v="0"/>
    <n v="9994101372"/>
    <s v="amit.verma43@gmail.com"/>
    <s v="16-Jan-2024"/>
    <x v="0"/>
    <x v="7"/>
    <s v="Yes"/>
    <m/>
  </r>
  <r>
    <s v="LD0132"/>
    <x v="4"/>
    <x v="5"/>
    <n v="9253244720"/>
    <s v="rohit.singh38@gmail.com"/>
    <s v="04-Mar-2024"/>
    <x v="0"/>
    <x v="7"/>
    <s v="Yes"/>
    <m/>
  </r>
  <r>
    <s v="LD0406"/>
    <x v="7"/>
    <x v="5"/>
    <n v="9380657875"/>
    <s v="amit.verma24@gmail.com"/>
    <s v="04-Jan-2024"/>
    <x v="3"/>
    <x v="7"/>
    <m/>
    <s v="Price issue"/>
  </r>
  <r>
    <s v="LD0161"/>
    <x v="9"/>
    <x v="5"/>
    <n v="9321334803"/>
    <s v="rahul.sharma46@gmail.com"/>
    <s v="23-Jan-2024"/>
    <x v="3"/>
    <x v="0"/>
    <s v="Yes"/>
    <s v="Interested"/>
  </r>
  <r>
    <s v="LD0197"/>
    <x v="5"/>
    <x v="1"/>
    <n v="9842701039"/>
    <m/>
    <s v="02-Mar-2024"/>
    <x v="1"/>
    <x v="1"/>
    <m/>
    <s v="Not picking up"/>
  </r>
  <r>
    <s v="LD0267"/>
    <x v="5"/>
    <x v="5"/>
    <n v="9002921851"/>
    <s v="divya.nair76@gmail.com"/>
    <s v="13-Jan-2024"/>
    <x v="2"/>
    <x v="8"/>
    <s v="No"/>
    <m/>
  </r>
  <r>
    <s v="LD0384"/>
    <x v="2"/>
    <x v="3"/>
    <m/>
    <m/>
    <s v="30-Mar-2024"/>
    <x v="1"/>
    <x v="0"/>
    <m/>
    <s v="Demo done"/>
  </r>
  <r>
    <s v="LD0403"/>
    <x v="6"/>
    <x v="4"/>
    <n v="9355215704"/>
    <m/>
    <s v="02-Feb-2024"/>
    <x v="1"/>
    <x v="7"/>
    <s v="No"/>
    <m/>
  </r>
  <r>
    <s v="LD0165"/>
    <x v="7"/>
    <x v="6"/>
    <m/>
    <s v="amit.verma41@gmail.com"/>
    <s v="03-Feb-2024"/>
    <x v="0"/>
    <x v="2"/>
    <s v="No"/>
    <s v="Call back tomorrow"/>
  </r>
  <r>
    <s v="LD0259"/>
    <x v="6"/>
    <x v="3"/>
    <n v="9062962015"/>
    <s v="priya.mehta71@gmail.com"/>
    <s v="10-Mar-2024"/>
    <x v="2"/>
    <x v="4"/>
    <s v="Yes"/>
    <m/>
  </r>
  <r>
    <s v="LD0248"/>
    <x v="3"/>
    <x v="5"/>
    <n v="9614973103"/>
    <s v="anjali.gupta61@gmail.com"/>
    <s v="15-Jan-2024"/>
    <x v="0"/>
    <x v="5"/>
    <s v="Yes"/>
    <s v="Wrong number"/>
  </r>
  <r>
    <s v="LD0012"/>
    <x v="0"/>
    <x v="6"/>
    <n v="9270477434"/>
    <m/>
    <s v="30-Mar-2024"/>
    <x v="0"/>
    <x v="2"/>
    <m/>
    <s v="Demo done"/>
  </r>
  <r>
    <s v="LD0412"/>
    <x v="9"/>
    <x v="6"/>
    <n v="9793741608"/>
    <s v="rahul.sharma87@gmail.com"/>
    <s v="20-Mar-2024"/>
    <x v="0"/>
    <x v="6"/>
    <s v="No"/>
    <s v="Not picking up"/>
  </r>
  <r>
    <s v="LD0014"/>
    <x v="8"/>
    <x v="6"/>
    <n v="9632945116"/>
    <s v="sneha.joshi36@gmail.com"/>
    <s v="07-Mar-2024"/>
    <x v="1"/>
    <x v="2"/>
    <s v="Yes"/>
    <m/>
  </r>
  <r>
    <s v="LD0491"/>
    <x v="11"/>
    <x v="3"/>
    <m/>
    <s v="amit.verma5@gmail.com"/>
    <s v="23-Jan-2024"/>
    <x v="0"/>
    <x v="2"/>
    <s v="Yes"/>
    <m/>
  </r>
  <r>
    <s v="LD0014"/>
    <x v="5"/>
    <x v="5"/>
    <m/>
    <s v="divya.nair96@gmail.com"/>
    <s v="26-Feb-2024"/>
    <x v="2"/>
    <x v="4"/>
    <s v="No"/>
    <s v="Follow up pending"/>
  </r>
  <r>
    <s v="LD0340"/>
    <x v="8"/>
    <x v="5"/>
    <m/>
    <s v="sneha.joshi4@gmail.com"/>
    <s v="23-Jan-2024"/>
    <x v="3"/>
    <x v="1"/>
    <s v="Yes"/>
    <s v="Follow up pending"/>
  </r>
  <r>
    <s v="LD0361"/>
    <x v="10"/>
    <x v="0"/>
    <n v="9786103579"/>
    <s v="rahul.sharma76@gmail.com"/>
    <s v="11-Mar-2024"/>
    <x v="1"/>
    <x v="5"/>
    <s v="No"/>
    <s v="Call back tomorrow"/>
  </r>
  <r>
    <s v="LD0450"/>
    <x v="1"/>
    <x v="1"/>
    <n v="9333346800"/>
    <s v="karan.patel77@gmail.com"/>
    <s v="01-Feb-2024"/>
    <x v="2"/>
    <x v="5"/>
    <s v="No"/>
    <s v="Price issue"/>
  </r>
  <r>
    <s v="LD0268"/>
    <x v="4"/>
    <x v="6"/>
    <n v="9374896910"/>
    <s v="rohit.singh48@gmail.com"/>
    <s v="12-Mar-2024"/>
    <x v="2"/>
    <x v="6"/>
    <s v="Yes"/>
    <s v="Closed deal"/>
  </r>
  <r>
    <s v="LD0216"/>
    <x v="1"/>
    <x v="0"/>
    <m/>
    <m/>
    <s v="04-Mar-2024"/>
    <x v="2"/>
    <x v="2"/>
    <s v="No"/>
    <s v="Interested"/>
  </r>
  <r>
    <s v="LD0463"/>
    <x v="8"/>
    <x v="1"/>
    <n v="9758428241"/>
    <m/>
    <s v="02-Mar-2024"/>
    <x v="1"/>
    <x v="1"/>
    <s v="Yes"/>
    <s v="Demo done"/>
  </r>
  <r>
    <s v="LD0054"/>
    <x v="1"/>
    <x v="0"/>
    <n v="9494717099"/>
    <m/>
    <s v="25-Jan-2024"/>
    <x v="0"/>
    <x v="2"/>
    <s v="Yes"/>
    <s v="Not picking up"/>
  </r>
  <r>
    <s v="LD0279"/>
    <x v="11"/>
    <x v="3"/>
    <n v="9252175250"/>
    <s v="amit.verma22@gmail.com"/>
    <s v="14-Mar-2024"/>
    <x v="0"/>
    <x v="4"/>
    <s v="No"/>
    <m/>
  </r>
  <r>
    <s v="LD0070"/>
    <x v="4"/>
    <x v="6"/>
    <n v="9008350583"/>
    <s v="rohit.singh32@gmail.com"/>
    <s v="29-Jan-2024"/>
    <x v="2"/>
    <x v="2"/>
    <s v="Yes"/>
    <s v="Price issue"/>
  </r>
  <r>
    <s v="LD0252"/>
    <x v="7"/>
    <x v="0"/>
    <n v="9789856257"/>
    <m/>
    <s v="21-Feb-2024"/>
    <x v="3"/>
    <x v="8"/>
    <s v="No"/>
    <s v="Interested"/>
  </r>
  <r>
    <s v="LD0200"/>
    <x v="7"/>
    <x v="4"/>
    <n v="9648909010"/>
    <s v="amit.verma49@gmail.com"/>
    <s v="16-Jan-2024"/>
    <x v="0"/>
    <x v="1"/>
    <s v="No"/>
    <s v="Interested"/>
  </r>
  <r>
    <s v="LD0449"/>
    <x v="1"/>
    <x v="4"/>
    <n v="9499261891"/>
    <m/>
    <s v="14-Jan-2024"/>
    <x v="3"/>
    <x v="5"/>
    <m/>
    <s v="Wrong number"/>
  </r>
  <r>
    <s v="LD0348"/>
    <x v="8"/>
    <x v="0"/>
    <m/>
    <m/>
    <s v="15-Jan-2024"/>
    <x v="4"/>
    <x v="4"/>
    <s v="No"/>
    <s v="Call back tomorrow"/>
  </r>
  <r>
    <s v="LD0180"/>
    <x v="1"/>
    <x v="0"/>
    <m/>
    <m/>
    <s v="06-Jan-2024"/>
    <x v="4"/>
    <x v="8"/>
    <s v="Yes"/>
    <s v="Closed deal"/>
  </r>
  <r>
    <s v="LD0488"/>
    <x v="2"/>
    <x v="2"/>
    <m/>
    <s v="anjali.gupta22@gmail.com"/>
    <s v="15-Jan-2024"/>
    <x v="1"/>
    <x v="8"/>
    <s v="Yes"/>
    <m/>
  </r>
  <r>
    <s v="LD0027"/>
    <x v="2"/>
    <x v="6"/>
    <n v="9902771670"/>
    <s v="anjali.gupta91@gmail.com"/>
    <s v="27-Mar-2024"/>
    <x v="1"/>
    <x v="4"/>
    <s v="No"/>
    <s v="Demo done"/>
  </r>
  <r>
    <s v="LD0239"/>
    <x v="2"/>
    <x v="4"/>
    <m/>
    <s v="anjali.gupta42@gmail.com"/>
    <s v="31-Jan-2024"/>
    <x v="2"/>
    <x v="7"/>
    <s v="No"/>
    <s v="Wrong number"/>
  </r>
  <r>
    <s v="LD0142"/>
    <x v="4"/>
    <x v="2"/>
    <m/>
    <m/>
    <s v="22-Feb-2024"/>
    <x v="1"/>
    <x v="5"/>
    <s v="Yes"/>
    <s v="Wrong number"/>
  </r>
  <r>
    <s v="LD0423"/>
    <x v="8"/>
    <x v="0"/>
    <n v="9375899757"/>
    <m/>
    <s v="25-Mar-2024"/>
    <x v="1"/>
    <x v="5"/>
    <s v="Yes"/>
    <s v="Wrong number"/>
  </r>
  <r>
    <s v="LD0216"/>
    <x v="5"/>
    <x v="5"/>
    <m/>
    <s v="divya.nair25@gmail.com"/>
    <s v="13-Feb-2024"/>
    <x v="0"/>
    <x v="7"/>
    <s v="No"/>
    <s v="Call back tomorrow"/>
  </r>
  <r>
    <s v="LD0078"/>
    <x v="2"/>
    <x v="3"/>
    <m/>
    <m/>
    <s v="15-Mar-2024"/>
    <x v="4"/>
    <x v="0"/>
    <s v="Yes"/>
    <m/>
  </r>
  <r>
    <s v="LD0140"/>
    <x v="4"/>
    <x v="5"/>
    <m/>
    <s v="rohit.singh90@gmail.com"/>
    <s v="11-Mar-2024"/>
    <x v="3"/>
    <x v="5"/>
    <s v="No"/>
    <s v="Closed deal"/>
  </r>
  <r>
    <s v="LD0467"/>
    <x v="11"/>
    <x v="4"/>
    <m/>
    <m/>
    <s v="14-Jan-2024"/>
    <x v="0"/>
    <x v="3"/>
    <s v="No"/>
    <s v="Price issue"/>
  </r>
  <r>
    <s v="LD0215"/>
    <x v="7"/>
    <x v="1"/>
    <m/>
    <s v="amit.verma50@gmail.com"/>
    <s v="31-Jan-2024"/>
    <x v="1"/>
    <x v="2"/>
    <s v="No"/>
    <s v="Closed deal"/>
  </r>
  <r>
    <s v="LD0073"/>
    <x v="9"/>
    <x v="1"/>
    <n v="9735989334"/>
    <s v="rahul.sharma24@gmail.com"/>
    <s v="23-Jan-2024"/>
    <x v="0"/>
    <x v="7"/>
    <s v="Yes"/>
    <s v="Wrong number"/>
  </r>
  <r>
    <s v="LD0017"/>
    <x v="1"/>
    <x v="5"/>
    <m/>
    <s v="karan.patel85@gmail.com"/>
    <s v="08-Feb-2024"/>
    <x v="1"/>
    <x v="7"/>
    <s v="No"/>
    <s v="Closed deal"/>
  </r>
  <r>
    <s v="LD0063"/>
    <x v="8"/>
    <x v="5"/>
    <m/>
    <s v="sneha.joshi28@gmail.com"/>
    <s v="20-Mar-2024"/>
    <x v="1"/>
    <x v="0"/>
    <s v="No"/>
    <s v="Demo done"/>
  </r>
  <r>
    <s v="LD0208"/>
    <x v="8"/>
    <x v="0"/>
    <m/>
    <s v="sneha.joshi38@gmail.com"/>
    <s v="24-Mar-2024"/>
    <x v="1"/>
    <x v="4"/>
    <s v="No"/>
    <s v="Wrong number"/>
  </r>
  <r>
    <s v="LD0090"/>
    <x v="9"/>
    <x v="5"/>
    <m/>
    <m/>
    <s v="01-Jul-2024"/>
    <x v="2"/>
    <x v="1"/>
    <s v="Yes"/>
    <m/>
  </r>
  <r>
    <s v="LD0453"/>
    <x v="4"/>
    <x v="6"/>
    <m/>
    <s v="rohit.singh65@gmail.com"/>
    <s v="14-Jan-2024"/>
    <x v="2"/>
    <x v="5"/>
    <m/>
    <s v="Follow up pending"/>
  </r>
  <r>
    <s v="LD0476"/>
    <x v="4"/>
    <x v="2"/>
    <m/>
    <s v="rohit.singh94@gmail.com"/>
    <s v="23-Mar-2024"/>
    <x v="1"/>
    <x v="8"/>
    <s v="Yes"/>
    <s v="Interested"/>
  </r>
  <r>
    <s v="LD0130"/>
    <x v="9"/>
    <x v="3"/>
    <n v="9143536822"/>
    <s v="rahul.sharma25@gmail.com"/>
    <s v="15-Jan-2024"/>
    <x v="1"/>
    <x v="6"/>
    <s v="No"/>
    <s v="Wrong number"/>
  </r>
  <r>
    <s v="LD0255"/>
    <x v="6"/>
    <x v="0"/>
    <n v="9397552314"/>
    <m/>
    <s v="25-Jan-2024"/>
    <x v="0"/>
    <x v="5"/>
    <s v="No"/>
    <s v="Not picking up"/>
  </r>
  <r>
    <s v="LD0439"/>
    <x v="5"/>
    <x v="1"/>
    <n v="9533645257"/>
    <s v="divya.nair63@gmail.com"/>
    <s v="11-Mar-2024"/>
    <x v="4"/>
    <x v="4"/>
    <m/>
    <s v="Price issue"/>
  </r>
  <r>
    <s v="LD0176"/>
    <x v="7"/>
    <x v="4"/>
    <n v="9108099693"/>
    <s v="amit.verma70@gmail.com"/>
    <s v="03-Jan-2024"/>
    <x v="1"/>
    <x v="5"/>
    <s v="No"/>
    <s v="Follow up pending"/>
  </r>
  <r>
    <s v="LD0263"/>
    <x v="6"/>
    <x v="2"/>
    <m/>
    <m/>
    <s v="02-Mar-2024"/>
    <x v="1"/>
    <x v="6"/>
    <s v="No"/>
    <s v="Call back tomorrow"/>
  </r>
  <r>
    <s v="LD0193"/>
    <x v="1"/>
    <x v="4"/>
    <m/>
    <s v="karan.patel36@gmail.com"/>
    <s v="02-Mar-2024"/>
    <x v="0"/>
    <x v="0"/>
    <s v="Yes"/>
    <s v="Call back tomorrow"/>
  </r>
  <r>
    <s v="LD0327"/>
    <x v="1"/>
    <x v="1"/>
    <n v="9655779082"/>
    <m/>
    <s v="23-Mar-2024"/>
    <x v="3"/>
    <x v="8"/>
    <s v="Yes"/>
    <s v="Call back tomorrow"/>
  </r>
  <r>
    <s v="LD0178"/>
    <x v="8"/>
    <x v="4"/>
    <n v="9777392603"/>
    <m/>
    <s v="16-Mar-2024"/>
    <x v="4"/>
    <x v="3"/>
    <s v="Yes"/>
    <s v="Not picking up"/>
  </r>
  <r>
    <s v="LD0003"/>
    <x v="9"/>
    <x v="1"/>
    <n v="9699041379"/>
    <m/>
    <s v="22-Feb-2024"/>
    <x v="4"/>
    <x v="5"/>
    <s v="No"/>
    <s v="Closed deal"/>
  </r>
  <r>
    <s v="LD0019"/>
    <x v="2"/>
    <x v="6"/>
    <n v="9103886291"/>
    <s v="anjali.gupta5@gmail.com"/>
    <s v="09-Mar-2024"/>
    <x v="0"/>
    <x v="8"/>
    <s v="Yes"/>
    <s v="Wrong number"/>
  </r>
  <r>
    <s v="LD0451"/>
    <x v="9"/>
    <x v="3"/>
    <m/>
    <s v="rahul.sharma90@gmail.com"/>
    <s v="14-Mar-2024"/>
    <x v="0"/>
    <x v="6"/>
    <m/>
    <s v="Demo done"/>
  </r>
  <r>
    <s v="LD0356"/>
    <x v="6"/>
    <x v="3"/>
    <n v="9430098180"/>
    <s v="priya.mehta41@gmail.com"/>
    <s v="22-Feb-2024"/>
    <x v="0"/>
    <x v="5"/>
    <s v="Yes"/>
    <s v="Wrong number"/>
  </r>
  <r>
    <s v="LD0077"/>
    <x v="4"/>
    <x v="0"/>
    <n v="9368872588"/>
    <s v="rohit.singh45@gmail.com"/>
    <s v="20-Feb-2024"/>
    <x v="0"/>
    <x v="6"/>
    <m/>
    <s v="Not picking up"/>
  </r>
  <r>
    <s v="LD0355"/>
    <x v="6"/>
    <x v="5"/>
    <n v="9890260127"/>
    <m/>
    <s v="29-Jan-2024"/>
    <x v="0"/>
    <x v="2"/>
    <s v="No"/>
    <s v="Wrong number"/>
  </r>
  <r>
    <s v="LD0245"/>
    <x v="1"/>
    <x v="5"/>
    <n v="9770384309"/>
    <s v="karan.patel22@gmail.com"/>
    <s v="27-Mar-2024"/>
    <x v="1"/>
    <x v="3"/>
    <s v="No"/>
    <s v="Call back tomorrow"/>
  </r>
  <r>
    <s v="LD0485"/>
    <x v="1"/>
    <x v="6"/>
    <n v="9938011848"/>
    <s v="karan.patel36@gmail.com"/>
    <s v="29-Jan-2024"/>
    <x v="0"/>
    <x v="3"/>
    <s v="Yes"/>
    <s v="Not picking up"/>
  </r>
  <r>
    <s v="LD0363"/>
    <x v="4"/>
    <x v="5"/>
    <m/>
    <s v="rohit.singh62@gmail.com"/>
    <s v="01-Feb-2024"/>
    <x v="0"/>
    <x v="3"/>
    <s v="No"/>
    <s v="Call back tomorrow"/>
  </r>
  <r>
    <s v="LD0246"/>
    <x v="1"/>
    <x v="5"/>
    <n v="9356588043"/>
    <m/>
    <s v="27-Mar-2024"/>
    <x v="0"/>
    <x v="8"/>
    <s v="No"/>
    <s v="Closed deal"/>
  </r>
  <r>
    <s v="LD0435"/>
    <x v="5"/>
    <x v="0"/>
    <m/>
    <s v="divya.nair20@gmail.com"/>
    <s v="14-Jan-2024"/>
    <x v="0"/>
    <x v="6"/>
    <s v="Yes"/>
    <s v="Interested"/>
  </r>
  <r>
    <s v="LD0191"/>
    <x v="9"/>
    <x v="0"/>
    <n v="9947284639"/>
    <m/>
    <s v="24-Feb-2024"/>
    <x v="1"/>
    <x v="2"/>
    <m/>
    <s v="Not picking up"/>
  </r>
  <r>
    <s v="LD0234"/>
    <x v="2"/>
    <x v="6"/>
    <m/>
    <s v="anjali.gupta31@gmail.com"/>
    <s v="04-Feb-2024"/>
    <x v="1"/>
    <x v="6"/>
    <s v="No"/>
    <s v="Demo done"/>
  </r>
  <r>
    <s v="LD0172"/>
    <x v="4"/>
    <x v="6"/>
    <n v="9729293143"/>
    <s v="rohit.singh19@gmail.com"/>
    <s v="20-Jan-2024"/>
    <x v="1"/>
    <x v="6"/>
    <s v="No"/>
    <s v="Wrong number"/>
  </r>
  <r>
    <s v="LD0053"/>
    <x v="5"/>
    <x v="3"/>
    <n v="9061203471"/>
    <s v="divya.nair47@gmail.com"/>
    <s v="12-Mar-2024"/>
    <x v="1"/>
    <x v="7"/>
    <s v="Yes"/>
    <s v="Closed deal"/>
  </r>
  <r>
    <s v="LD0067"/>
    <x v="8"/>
    <x v="4"/>
    <n v="9245587716"/>
    <s v="sneha.joshi19@gmail.com"/>
    <s v="22-Jan-2024"/>
    <x v="0"/>
    <x v="2"/>
    <m/>
    <s v="Call back tomorrow"/>
  </r>
  <r>
    <s v="LD0254"/>
    <x v="6"/>
    <x v="0"/>
    <n v="9449647598"/>
    <m/>
    <s v="01-Mar-2024"/>
    <x v="3"/>
    <x v="4"/>
    <s v="No"/>
    <s v="Not picking up"/>
  </r>
  <r>
    <s v="LD0134"/>
    <x v="4"/>
    <x v="5"/>
    <n v="9800681149"/>
    <m/>
    <s v="19-Feb-2024"/>
    <x v="3"/>
    <x v="5"/>
    <s v="No"/>
    <s v="Not picking up"/>
  </r>
  <r>
    <s v="LD0145"/>
    <x v="7"/>
    <x v="2"/>
    <m/>
    <s v="amit.verma59@gmail.com"/>
    <s v="21-Mar-2024"/>
    <x v="2"/>
    <x v="6"/>
    <s v="Yes"/>
    <s v="Demo done"/>
  </r>
  <r>
    <s v="LD0219"/>
    <x v="6"/>
    <x v="6"/>
    <n v="9240082547"/>
    <m/>
    <s v="03-Mar-2024"/>
    <x v="2"/>
    <x v="7"/>
    <s v="No"/>
    <s v="Price issue"/>
  </r>
  <r>
    <s v="LD0169"/>
    <x v="8"/>
    <x v="1"/>
    <n v="9866326634"/>
    <s v="sneha.joshi98@gmail.com"/>
    <s v="19-Mar-2024"/>
    <x v="2"/>
    <x v="5"/>
    <s v="No"/>
    <s v="Demo done"/>
  </r>
  <r>
    <s v="LD0472"/>
    <x v="6"/>
    <x v="2"/>
    <n v="9974973502"/>
    <m/>
    <s v="14-Jan-2024"/>
    <x v="2"/>
    <x v="6"/>
    <s v="No"/>
    <s v="Interested"/>
  </r>
  <r>
    <s v="LD0212"/>
    <x v="8"/>
    <x v="6"/>
    <m/>
    <m/>
    <s v="04-Feb-2024"/>
    <x v="0"/>
    <x v="8"/>
    <s v="No"/>
    <s v="Price issue"/>
  </r>
  <r>
    <s v="LD0159"/>
    <x v="4"/>
    <x v="5"/>
    <n v="9673037183"/>
    <s v="rohit.singh42@gmail.com"/>
    <s v="21-Jan-2024"/>
    <x v="0"/>
    <x v="5"/>
    <s v="No"/>
    <s v="Closed deal"/>
  </r>
  <r>
    <s v="LD0316"/>
    <x v="9"/>
    <x v="2"/>
    <n v="9650249163"/>
    <s v="rahul.sharma89@gmail.com"/>
    <s v="03-Jan-2024"/>
    <x v="1"/>
    <x v="1"/>
    <s v="No"/>
    <s v="Follow up pending"/>
  </r>
  <r>
    <s v="LD0258"/>
    <x v="6"/>
    <x v="5"/>
    <n v="9052812735"/>
    <s v="priya.mehta57@gmail.com"/>
    <s v="25-Jan-2024"/>
    <x v="0"/>
    <x v="8"/>
    <s v="Yes"/>
    <s v="Interested"/>
  </r>
  <r>
    <s v="LD0323"/>
    <x v="2"/>
    <x v="3"/>
    <m/>
    <m/>
    <s v="20-Jan-2024"/>
    <x v="2"/>
    <x v="0"/>
    <s v="No"/>
    <s v="Interested"/>
  </r>
  <r>
    <s v="LD0073"/>
    <x v="0"/>
    <x v="3"/>
    <m/>
    <s v="rohit.singh42@gmail.com"/>
    <s v="22-Feb-2024"/>
    <x v="0"/>
    <x v="4"/>
    <s v="Yes"/>
    <s v="Not picking up"/>
  </r>
  <r>
    <s v="LD0146"/>
    <x v="7"/>
    <x v="6"/>
    <n v="9109678994"/>
    <s v="amit.verma10@gmail.com"/>
    <s v="01-Feb-2024"/>
    <x v="0"/>
    <x v="4"/>
    <s v="No"/>
    <s v="Interested"/>
  </r>
  <r>
    <s v="LD0308"/>
    <x v="5"/>
    <x v="5"/>
    <n v="9948014138"/>
    <m/>
    <s v="30-Jan-2024"/>
    <x v="3"/>
    <x v="1"/>
    <s v="Yes"/>
    <s v="Not picking up"/>
  </r>
  <r>
    <s v="LD0104"/>
    <x v="4"/>
    <x v="3"/>
    <m/>
    <s v="rohit.singh57@gmail.com"/>
    <s v="15-Feb-2024"/>
    <x v="1"/>
    <x v="2"/>
    <m/>
    <m/>
  </r>
  <r>
    <s v="LD0061"/>
    <x v="5"/>
    <x v="1"/>
    <n v="9845776004"/>
    <m/>
    <s v="18-Jan-2024"/>
    <x v="1"/>
    <x v="1"/>
    <s v="No"/>
    <s v="Closed deal"/>
  </r>
  <r>
    <s v="LD0173"/>
    <x v="9"/>
    <x v="3"/>
    <n v="9899210752"/>
    <s v="rahul.sharma32@gmail.com"/>
    <s v="30-Jan-2024"/>
    <x v="2"/>
    <x v="2"/>
    <s v="Yes"/>
    <s v="Demo done"/>
  </r>
  <r>
    <s v="LD0210"/>
    <x v="6"/>
    <x v="1"/>
    <m/>
    <s v="priya.mehta56@gmail.com"/>
    <s v="23-Feb-2024"/>
    <x v="3"/>
    <x v="3"/>
    <s v="No"/>
    <m/>
  </r>
  <r>
    <s v="LD0367"/>
    <x v="10"/>
    <x v="0"/>
    <m/>
    <s v="rahul.sharma29@gmail.com"/>
    <s v="25-Feb-2024"/>
    <x v="0"/>
    <x v="0"/>
    <s v="Yes"/>
    <s v="Follow up pending"/>
  </r>
  <r>
    <s v="LD0018"/>
    <x v="9"/>
    <x v="2"/>
    <m/>
    <s v="rahul.sharma95@gmail.com"/>
    <s v="03-Aug-2024"/>
    <x v="3"/>
    <x v="7"/>
    <m/>
    <m/>
  </r>
  <r>
    <s v="LD0411"/>
    <x v="5"/>
    <x v="5"/>
    <n v="9655355904"/>
    <s v="divya.nair57@gmail.com"/>
    <s v="20-Mar-2024"/>
    <x v="0"/>
    <x v="7"/>
    <m/>
    <s v="Demo done"/>
  </r>
  <r>
    <s v="LD0021"/>
    <x v="8"/>
    <x v="4"/>
    <n v="9103924051"/>
    <m/>
    <s v="27-Jan-2024"/>
    <x v="3"/>
    <x v="5"/>
    <s v="Yes"/>
    <s v="Follow up pending"/>
  </r>
  <r>
    <s v="LD0131"/>
    <x v="7"/>
    <x v="4"/>
    <n v="9042043940"/>
    <m/>
    <s v="19-Feb-2024"/>
    <x v="1"/>
    <x v="3"/>
    <s v="Yes"/>
    <m/>
  </r>
  <r>
    <s v="LD0287"/>
    <x v="8"/>
    <x v="4"/>
    <n v="9579812387"/>
    <m/>
    <s v="01-Feb-2024"/>
    <x v="1"/>
    <x v="8"/>
    <s v="Yes"/>
    <s v="Closed deal"/>
  </r>
  <r>
    <s v="LD0113"/>
    <x v="5"/>
    <x v="1"/>
    <n v="9404608432"/>
    <s v="divya.nair12@gmail.com"/>
    <s v="18-Feb-2024"/>
    <x v="0"/>
    <x v="8"/>
    <s v="No"/>
    <s v="Price issue"/>
  </r>
  <r>
    <s v="LD0334"/>
    <x v="5"/>
    <x v="1"/>
    <m/>
    <s v="divya.nair41@gmail.com"/>
    <s v="09-Jan-2024"/>
    <x v="4"/>
    <x v="8"/>
    <s v="No"/>
    <s v="Interested"/>
  </r>
  <r>
    <s v="LD0393"/>
    <x v="5"/>
    <x v="0"/>
    <n v="9423122099"/>
    <s v="divya.nair77@gmail.com"/>
    <s v="30-Jan-2024"/>
    <x v="1"/>
    <x v="6"/>
    <s v="No"/>
    <s v="Wrong number"/>
  </r>
  <r>
    <s v="LD0018"/>
    <x v="2"/>
    <x v="6"/>
    <n v="9722330604"/>
    <s v="anjali.gupta26@gmail.com"/>
    <s v="27-Jan-2024"/>
    <x v="4"/>
    <x v="6"/>
    <m/>
    <s v="Follow up pending"/>
  </r>
  <r>
    <s v="LD0150"/>
    <x v="5"/>
    <x v="6"/>
    <n v="9096569998"/>
    <s v="divya.nair5@gmail.com"/>
    <s v="07-Mar-2024"/>
    <x v="0"/>
    <x v="3"/>
    <s v="No"/>
    <s v="Wrong number"/>
  </r>
  <r>
    <s v="LD0013"/>
    <x v="4"/>
    <x v="3"/>
    <n v="9347644726"/>
    <m/>
    <s v="03-Jul-2024"/>
    <x v="0"/>
    <x v="6"/>
    <s v="Yes"/>
    <s v="Wrong number"/>
  </r>
  <r>
    <s v="LD0228"/>
    <x v="6"/>
    <x v="4"/>
    <m/>
    <s v="priya.mehta12@gmail.com"/>
    <s v="02-Feb-2024"/>
    <x v="4"/>
    <x v="4"/>
    <s v="Yes"/>
    <s v="Call back tomorrow"/>
  </r>
  <r>
    <s v="LD0378"/>
    <x v="2"/>
    <x v="5"/>
    <n v="9892686025"/>
    <s v="anjali.gupta21@gmail.com"/>
    <s v="19-Jan-2024"/>
    <x v="1"/>
    <x v="5"/>
    <s v="No"/>
    <s v="Follow up pending"/>
  </r>
  <r>
    <s v="LD0325"/>
    <x v="1"/>
    <x v="5"/>
    <m/>
    <m/>
    <s v="03-Apr-2024"/>
    <x v="3"/>
    <x v="6"/>
    <s v="No"/>
    <m/>
  </r>
  <r>
    <s v="LD0354"/>
    <x v="2"/>
    <x v="2"/>
    <m/>
    <m/>
    <s v="05-Jan-2024"/>
    <x v="1"/>
    <x v="3"/>
    <s v="Yes"/>
    <m/>
  </r>
  <r>
    <s v="LD0456"/>
    <x v="11"/>
    <x v="3"/>
    <n v="9982795014"/>
    <s v="amit.verma9@gmail.com"/>
    <s v="24-Feb-2024"/>
    <x v="2"/>
    <x v="4"/>
    <s v="No"/>
    <s v="Price issue"/>
  </r>
  <r>
    <s v="LD0189"/>
    <x v="5"/>
    <x v="4"/>
    <n v="9901981794"/>
    <s v="divya.nair68@gmail.com"/>
    <s v="14-Mar-2024"/>
    <x v="4"/>
    <x v="6"/>
    <s v="Yes"/>
    <s v="Follow up pending"/>
  </r>
  <r>
    <s v="LD0487"/>
    <x v="3"/>
    <x v="1"/>
    <n v="9301071396"/>
    <m/>
    <s v="14-Feb-2024"/>
    <x v="1"/>
    <x v="5"/>
    <s v="Yes"/>
    <s v="Call back tomorrow"/>
  </r>
  <r>
    <s v="LD0015"/>
    <x v="1"/>
    <x v="0"/>
    <n v="9155699023"/>
    <s v="karan.patel62@gmail.com"/>
    <s v="01-Mar-2024"/>
    <x v="4"/>
    <x v="6"/>
    <m/>
    <s v="Wrong number"/>
  </r>
  <r>
    <s v="LD0297"/>
    <x v="5"/>
    <x v="6"/>
    <m/>
    <s v="divya.nair46@gmail.com"/>
    <s v="01-Sep-2024"/>
    <x v="2"/>
    <x v="0"/>
    <s v="No"/>
    <s v="Wrong number"/>
  </r>
  <r>
    <s v="LD0076"/>
    <x v="7"/>
    <x v="1"/>
    <n v="9145046173"/>
    <s v="amit.verma28@gmail.com"/>
    <s v="08-Mar-2024"/>
    <x v="4"/>
    <x v="3"/>
    <m/>
    <s v="Demo done"/>
  </r>
  <r>
    <s v="LD0289"/>
    <x v="6"/>
    <x v="5"/>
    <m/>
    <s v="priya.mehta67@gmail.com"/>
    <s v="27-Mar-2024"/>
    <x v="3"/>
    <x v="6"/>
    <s v="No"/>
    <s v="Wrong number"/>
  </r>
  <r>
    <s v="LD0040"/>
    <x v="6"/>
    <x v="2"/>
    <m/>
    <s v="priya.mehta42@gmail.com"/>
    <s v="26-Jan-2024"/>
    <x v="2"/>
    <x v="0"/>
    <m/>
    <s v="Follow up pending"/>
  </r>
  <r>
    <s v="LD0295"/>
    <x v="6"/>
    <x v="0"/>
    <n v="9098813858"/>
    <s v="priya.mehta37@gmail.com"/>
    <s v="14-Mar-2024"/>
    <x v="4"/>
    <x v="7"/>
    <s v="Yes"/>
    <s v="Closed deal"/>
  </r>
  <r>
    <s v="LD0184"/>
    <x v="2"/>
    <x v="6"/>
    <m/>
    <s v="anjali.gupta79@gmail.com"/>
    <s v="15-Feb-2024"/>
    <x v="1"/>
    <x v="4"/>
    <m/>
    <s v="Follow up pending"/>
  </r>
  <r>
    <s v="LD0304"/>
    <x v="7"/>
    <x v="4"/>
    <n v="9174773329"/>
    <s v="amit.verma90@gmail.com"/>
    <s v="26-Mar-2024"/>
    <x v="1"/>
    <x v="3"/>
    <s v="Yes"/>
    <s v="Follow up pending"/>
  </r>
  <r>
    <s v="LD0269"/>
    <x v="6"/>
    <x v="5"/>
    <n v="9459928161"/>
    <m/>
    <s v="08-Feb-2024"/>
    <x v="0"/>
    <x v="1"/>
    <s v="Yes"/>
    <s v="Demo done"/>
  </r>
  <r>
    <s v="LD0292"/>
    <x v="7"/>
    <x v="0"/>
    <m/>
    <s v="amit.verma63@gmail.com"/>
    <s v="15-Jan-2024"/>
    <x v="1"/>
    <x v="6"/>
    <s v="No"/>
    <s v="Price issue"/>
  </r>
  <r>
    <s v="LD0188"/>
    <x v="4"/>
    <x v="4"/>
    <m/>
    <m/>
    <s v="20-Jan-2024"/>
    <x v="2"/>
    <x v="6"/>
    <s v="No"/>
    <s v="Demo done"/>
  </r>
  <r>
    <s v="LD0179"/>
    <x v="5"/>
    <x v="4"/>
    <m/>
    <s v="divya.nair71@gmail.com"/>
    <s v="07-Jan-2024"/>
    <x v="1"/>
    <x v="5"/>
    <m/>
    <s v="Interested"/>
  </r>
  <r>
    <s v="LD0429"/>
    <x v="8"/>
    <x v="6"/>
    <n v="9666683272"/>
    <s v="sneha.joshi47@gmail.com"/>
    <s v="23-Feb-2024"/>
    <x v="2"/>
    <x v="8"/>
    <s v="No"/>
    <s v="Interested"/>
  </r>
  <r>
    <s v="LD0427"/>
    <x v="6"/>
    <x v="6"/>
    <n v="9212679692"/>
    <s v="priya.mehta58@gmail.com"/>
    <s v="19-Feb-2024"/>
    <x v="3"/>
    <x v="3"/>
    <s v="Yes"/>
    <s v="Follow up pending"/>
  </r>
  <r>
    <s v="LD0489"/>
    <x v="8"/>
    <x v="3"/>
    <m/>
    <m/>
    <s v="08-Mar-2024"/>
    <x v="0"/>
    <x v="4"/>
    <s v="No"/>
    <s v="Follow up pending"/>
  </r>
  <r>
    <s v="LD0337"/>
    <x v="6"/>
    <x v="0"/>
    <m/>
    <s v="priya.mehta38@gmail.com"/>
    <s v="02-Jul-2024"/>
    <x v="1"/>
    <x v="5"/>
    <s v="No"/>
    <s v="Price issue"/>
  </r>
  <r>
    <s v="LD0201"/>
    <x v="9"/>
    <x v="1"/>
    <n v="9049047128"/>
    <s v="rahul.sharma17@gmail.com"/>
    <s v="19-Mar-2024"/>
    <x v="2"/>
    <x v="3"/>
    <s v="No"/>
    <s v="Call back tomorrow"/>
  </r>
  <r>
    <s v="LD0238"/>
    <x v="7"/>
    <x v="4"/>
    <n v="9524372805"/>
    <s v="amit.verma20@gmail.com"/>
    <s v="04-Mar-2024"/>
    <x v="0"/>
    <x v="6"/>
    <s v="No"/>
    <s v="Not picking up"/>
  </r>
  <r>
    <s v="LD0495"/>
    <x v="8"/>
    <x v="0"/>
    <m/>
    <s v="sneha.joshi30@gmail.com"/>
    <s v="18-Feb-2024"/>
    <x v="0"/>
    <x v="2"/>
    <s v="Yes"/>
    <s v="Price issue"/>
  </r>
  <r>
    <s v="LD0218"/>
    <x v="2"/>
    <x v="3"/>
    <m/>
    <m/>
    <s v="24-Mar-2024"/>
    <x v="0"/>
    <x v="1"/>
    <s v="No"/>
    <s v="Demo done"/>
  </r>
  <r>
    <s v="LD0357"/>
    <x v="5"/>
    <x v="2"/>
    <m/>
    <m/>
    <s v="04-Jan-2024"/>
    <x v="1"/>
    <x v="1"/>
    <s v="Yes"/>
    <s v="Call back tomorrow"/>
  </r>
  <r>
    <s v="LD0462"/>
    <x v="6"/>
    <x v="1"/>
    <n v="9921244717"/>
    <s v="priya.mehta86@gmail.com"/>
    <s v="11-Feb-2024"/>
    <x v="4"/>
    <x v="5"/>
    <m/>
    <s v="Interested"/>
  </r>
  <r>
    <s v="LD0043"/>
    <x v="4"/>
    <x v="2"/>
    <m/>
    <m/>
    <s v="25-Feb-2024"/>
    <x v="0"/>
    <x v="5"/>
    <s v="Yes"/>
    <s v="Interested"/>
  </r>
  <r>
    <s v="LD0016"/>
    <x v="6"/>
    <x v="0"/>
    <n v="9072006425"/>
    <s v="priya.mehta99@gmail.com"/>
    <s v="03-Mar-2024"/>
    <x v="0"/>
    <x v="4"/>
    <s v="Yes"/>
    <s v="Demo done"/>
  </r>
  <r>
    <s v="LD0404"/>
    <x v="9"/>
    <x v="5"/>
    <n v="9198554601"/>
    <s v="rahul.sharma11@gmail.com"/>
    <s v="28-Feb-2024"/>
    <x v="3"/>
    <x v="3"/>
    <s v="No"/>
    <s v="Demo done"/>
  </r>
  <r>
    <s v="LD0366"/>
    <x v="1"/>
    <x v="4"/>
    <n v="9717320309"/>
    <m/>
    <s v="10-Mar-2024"/>
    <x v="0"/>
    <x v="6"/>
    <s v="Yes"/>
    <s v="Interested"/>
  </r>
  <r>
    <s v="LD0222"/>
    <x v="5"/>
    <x v="4"/>
    <n v="9613878293"/>
    <m/>
    <s v="19-Jan-2024"/>
    <x v="1"/>
    <x v="3"/>
    <s v="No"/>
    <s v="Not picking up"/>
  </r>
  <r>
    <s v="LD0461"/>
    <x v="9"/>
    <x v="0"/>
    <m/>
    <m/>
    <s v="26-Jan-2024"/>
    <x v="1"/>
    <x v="2"/>
    <s v="Yes"/>
    <s v="Call back tomorrow"/>
  </r>
  <r>
    <s v="LD0247"/>
    <x v="7"/>
    <x v="5"/>
    <n v="9092511426"/>
    <s v="amit.verma57@gmail.com"/>
    <s v="01-Feb-2024"/>
    <x v="4"/>
    <x v="2"/>
    <m/>
    <s v="Not picking up"/>
  </r>
  <r>
    <s v="LD0416"/>
    <x v="9"/>
    <x v="5"/>
    <m/>
    <s v="rahul.sharma31@gmail.com"/>
    <s v="23-Jan-2024"/>
    <x v="4"/>
    <x v="4"/>
    <s v="No"/>
    <s v="Price issue"/>
  </r>
  <r>
    <s v="LD0346"/>
    <x v="5"/>
    <x v="5"/>
    <n v="9318195883"/>
    <s v="divya.nair36@gmail.com"/>
    <s v="01-Jul-2024"/>
    <x v="0"/>
    <x v="6"/>
    <s v="No"/>
    <s v="Not picking up"/>
  </r>
  <r>
    <s v="LD0086"/>
    <x v="7"/>
    <x v="5"/>
    <m/>
    <m/>
    <s v="03-Sep-2024"/>
    <x v="4"/>
    <x v="6"/>
    <s v="Yes"/>
    <s v="Call back tomorrow"/>
  </r>
  <r>
    <s v="LD0301"/>
    <x v="6"/>
    <x v="3"/>
    <n v="9563531531"/>
    <s v="priya.mehta49@gmail.com"/>
    <s v="29-Jan-2024"/>
    <x v="0"/>
    <x v="3"/>
    <s v="No"/>
    <s v="Not picking up"/>
  </r>
  <r>
    <s v="LD0048"/>
    <x v="8"/>
    <x v="6"/>
    <m/>
    <s v="sneha.joshi15@gmail.com"/>
    <s v="29-Feb-2024"/>
    <x v="0"/>
    <x v="0"/>
    <s v="No"/>
    <s v="Price issue"/>
  </r>
  <r>
    <s v="LD0008"/>
    <x v="7"/>
    <x v="3"/>
    <n v="9316873977"/>
    <m/>
    <s v="24-Feb-2024"/>
    <x v="3"/>
    <x v="1"/>
    <s v="Yes"/>
    <s v="Not picking up"/>
  </r>
  <r>
    <s v="LD0026"/>
    <x v="9"/>
    <x v="2"/>
    <n v="9806867177"/>
    <m/>
    <s v="02-Jan-2024"/>
    <x v="3"/>
    <x v="5"/>
    <s v="No"/>
    <s v="Call back tomorrow"/>
  </r>
  <r>
    <s v="LD0281"/>
    <x v="9"/>
    <x v="1"/>
    <m/>
    <s v="rahul.sharma81@gmail.com"/>
    <s v="10-Jan-2024"/>
    <x v="1"/>
    <x v="5"/>
    <s v="No"/>
    <s v="Price issue"/>
  </r>
  <r>
    <s v="LD0227"/>
    <x v="8"/>
    <x v="0"/>
    <n v="9850165790"/>
    <s v="sneha.joshi91@gmail.com"/>
    <s v="01-Sep-2024"/>
    <x v="4"/>
    <x v="1"/>
    <s v="Yes"/>
    <s v="Call back tomorrow"/>
  </r>
  <r>
    <s v="LD0039"/>
    <x v="3"/>
    <x v="5"/>
    <n v="9554864015"/>
    <s v="anjali.gupta16@gmail.com"/>
    <s v="01-Mar-2024"/>
    <x v="0"/>
    <x v="4"/>
    <s v="No"/>
    <s v="Follow up pending"/>
  </r>
  <r>
    <s v="LD0483"/>
    <x v="6"/>
    <x v="1"/>
    <n v="9112412723"/>
    <m/>
    <s v="23-Feb-2024"/>
    <x v="0"/>
    <x v="6"/>
    <s v="No"/>
    <s v="Interested"/>
  </r>
  <r>
    <s v="LD0458"/>
    <x v="1"/>
    <x v="5"/>
    <m/>
    <s v="karan.patel73@gmail.com"/>
    <s v="17-Jan-2024"/>
    <x v="4"/>
    <x v="1"/>
    <s v="No"/>
    <s v="Closed deal"/>
  </r>
  <r>
    <s v="LD0418"/>
    <x v="1"/>
    <x v="0"/>
    <n v="9292842222"/>
    <m/>
    <s v="02-Oct-2024"/>
    <x v="0"/>
    <x v="8"/>
    <s v="No"/>
    <s v="Wrong number"/>
  </r>
  <r>
    <s v="LD0094"/>
    <x v="9"/>
    <x v="0"/>
    <n v="9578284106"/>
    <s v="rahul.sharma41@gmail.com"/>
    <s v="20-Jan-2024"/>
    <x v="1"/>
    <x v="5"/>
    <s v="No"/>
    <s v="Price issue"/>
  </r>
  <r>
    <s v="LD0310"/>
    <x v="7"/>
    <x v="6"/>
    <n v="9170281406"/>
    <s v="amit.verma12@gmail.com"/>
    <s v="11-Feb-2024"/>
    <x v="3"/>
    <x v="1"/>
    <m/>
    <s v="Price issue"/>
  </r>
  <r>
    <s v="LD0329"/>
    <x v="8"/>
    <x v="5"/>
    <n v="9186375998"/>
    <s v="sneha.joshi19@gmail.com"/>
    <s v="24-Feb-2024"/>
    <x v="0"/>
    <x v="5"/>
    <s v="Yes"/>
    <s v="Closed deal"/>
  </r>
  <r>
    <s v="LD0230"/>
    <x v="1"/>
    <x v="2"/>
    <n v="9767426629"/>
    <m/>
    <s v="27-Jan-2024"/>
    <x v="0"/>
    <x v="0"/>
    <s v="Yes"/>
    <m/>
  </r>
  <r>
    <s v="LD0290"/>
    <x v="6"/>
    <x v="0"/>
    <n v="9287923264"/>
    <s v="priya.mehta39@gmail.com"/>
    <s v="15-Mar-2024"/>
    <x v="0"/>
    <x v="6"/>
    <s v="No"/>
    <s v="Interested"/>
  </r>
  <r>
    <s v="LD0494"/>
    <x v="9"/>
    <x v="4"/>
    <n v="9146273014"/>
    <m/>
    <s v="16-Feb-2024"/>
    <x v="0"/>
    <x v="6"/>
    <s v="No"/>
    <s v="Call back tomorrow"/>
  </r>
  <r>
    <s v="LD0128"/>
    <x v="5"/>
    <x v="1"/>
    <n v="9025725204"/>
    <s v="divya.nair46@gmail.com"/>
    <s v="07-Jan-2024"/>
    <x v="2"/>
    <x v="4"/>
    <s v="Yes"/>
    <s v="Demo done"/>
  </r>
  <r>
    <s v="LD0056"/>
    <x v="7"/>
    <x v="1"/>
    <m/>
    <m/>
    <s v="18-Jan-2024"/>
    <x v="1"/>
    <x v="2"/>
    <s v="Yes"/>
    <s v="Not picking up"/>
  </r>
  <r>
    <s v="LD0116"/>
    <x v="6"/>
    <x v="1"/>
    <n v="9898881671"/>
    <s v="priya.mehta62@gmail.com"/>
    <s v="14-Feb-2024"/>
    <x v="1"/>
    <x v="6"/>
    <s v="Yes"/>
    <s v="Wrong number"/>
  </r>
  <r>
    <s v="LD0207"/>
    <x v="5"/>
    <x v="2"/>
    <n v="9322342321"/>
    <s v="divya.nair10@gmail.com"/>
    <s v="03-Jan-2024"/>
    <x v="0"/>
    <x v="7"/>
    <s v="Yes"/>
    <s v="Interested"/>
  </r>
  <r>
    <s v="LD0032"/>
    <x v="9"/>
    <x v="5"/>
    <n v="9014011939"/>
    <s v="rahul.sharma12@gmail.com"/>
    <s v="19-Jan-2024"/>
    <x v="1"/>
    <x v="1"/>
    <s v="Yes"/>
    <s v="Call back tomorrow"/>
  </r>
  <r>
    <s v="LD0051"/>
    <x v="6"/>
    <x v="3"/>
    <n v="9342801387"/>
    <m/>
    <s v="27-Mar-2024"/>
    <x v="4"/>
    <x v="2"/>
    <s v="No"/>
    <s v="Demo done"/>
  </r>
  <r>
    <s v="LD0028"/>
    <x v="8"/>
    <x v="5"/>
    <m/>
    <m/>
    <s v="11-Feb-2024"/>
    <x v="0"/>
    <x v="6"/>
    <s v="Yes"/>
    <s v="Price issue"/>
  </r>
  <r>
    <s v="LD0395"/>
    <x v="3"/>
    <x v="0"/>
    <n v="9317520716"/>
    <s v="anjali.gupta16@gmail.com"/>
    <s v="19-Jan-2024"/>
    <x v="0"/>
    <x v="4"/>
    <s v="No"/>
    <s v="Not picking up"/>
  </r>
  <r>
    <s v="LD0211"/>
    <x v="6"/>
    <x v="0"/>
    <n v="9961367499"/>
    <s v="priya.mehta52@gmail.com"/>
    <s v="15-Feb-2024"/>
    <x v="0"/>
    <x v="5"/>
    <s v="No"/>
    <s v="Follow up pending"/>
  </r>
  <r>
    <s v="LD0331"/>
    <x v="6"/>
    <x v="6"/>
    <n v="9201017026"/>
    <m/>
    <s v="20-Mar-2024"/>
    <x v="0"/>
    <x v="6"/>
    <m/>
    <s v="Follow up pending"/>
  </r>
  <r>
    <s v="LD0127"/>
    <x v="8"/>
    <x v="6"/>
    <n v="9485880061"/>
    <s v="sneha.joshi57@gmail.com"/>
    <s v="28-Feb-2024"/>
    <x v="1"/>
    <x v="5"/>
    <s v="No"/>
    <s v="Not picking up"/>
  </r>
  <r>
    <s v="LD0121"/>
    <x v="2"/>
    <x v="4"/>
    <n v="9719788977"/>
    <s v="anjali.gupta51@gmail.com"/>
    <s v="03-Feb-2024"/>
    <x v="0"/>
    <x v="0"/>
    <m/>
    <s v="Price issue"/>
  </r>
  <r>
    <s v="LD0050"/>
    <x v="5"/>
    <x v="5"/>
    <n v="9255905616"/>
    <s v="divya.nair8@gmail.com"/>
    <s v="25-Mar-2024"/>
    <x v="3"/>
    <x v="5"/>
    <s v="Yes"/>
    <s v="Call back tomorrow"/>
  </r>
  <r>
    <s v="LD0049"/>
    <x v="6"/>
    <x v="5"/>
    <n v="9085076986"/>
    <m/>
    <s v="01-Mar-2024"/>
    <x v="1"/>
    <x v="2"/>
    <s v="Yes"/>
    <s v="Call back tomorrow"/>
  </r>
  <r>
    <s v="LD0098"/>
    <x v="2"/>
    <x v="1"/>
    <n v="9785294563"/>
    <s v="anjali.gupta10@gmail.com"/>
    <s v="03-Sep-2024"/>
    <x v="2"/>
    <x v="5"/>
    <s v="Yes"/>
    <m/>
  </r>
  <r>
    <s v="LD0209"/>
    <x v="8"/>
    <x v="2"/>
    <n v="9195419876"/>
    <m/>
    <s v="08-Feb-2024"/>
    <x v="0"/>
    <x v="0"/>
    <s v="No"/>
    <m/>
  </r>
  <r>
    <s v="LD0294"/>
    <x v="4"/>
    <x v="6"/>
    <m/>
    <s v="rohit.singh99@gmail.com"/>
    <s v="25-Feb-2024"/>
    <x v="3"/>
    <x v="8"/>
    <s v="No"/>
    <s v="Not picking up"/>
  </r>
  <r>
    <s v="LD0125"/>
    <x v="1"/>
    <x v="5"/>
    <n v="9364424936"/>
    <m/>
    <s v="25-Jan-2024"/>
    <x v="3"/>
    <x v="5"/>
    <s v="No"/>
    <s v="Follow up pending"/>
  </r>
  <r>
    <s v="LD0243"/>
    <x v="4"/>
    <x v="2"/>
    <m/>
    <m/>
    <s v="11-Jan-2024"/>
    <x v="2"/>
    <x v="2"/>
    <s v="Yes"/>
    <s v="Call back tomorrow"/>
  </r>
  <r>
    <s v="LD0293"/>
    <x v="0"/>
    <x v="3"/>
    <n v="9189847139"/>
    <s v="rohit.singh75@gmail.com"/>
    <s v="19-Feb-2024"/>
    <x v="0"/>
    <x v="4"/>
    <s v="No"/>
    <s v="Demo done"/>
  </r>
  <r>
    <s v="LD0068"/>
    <x v="1"/>
    <x v="5"/>
    <m/>
    <s v="karan.patel19@gmail.com"/>
    <s v="16-Feb-2024"/>
    <x v="1"/>
    <x v="3"/>
    <s v="No"/>
    <s v="Interested"/>
  </r>
  <r>
    <s v="LD0419"/>
    <x v="9"/>
    <x v="4"/>
    <n v="9486451837"/>
    <m/>
    <s v="20-Feb-2024"/>
    <x v="2"/>
    <x v="1"/>
    <s v="Yes"/>
    <s v="Demo done"/>
  </r>
  <r>
    <s v="LD0110"/>
    <x v="7"/>
    <x v="5"/>
    <m/>
    <s v="amit.verma9@gmail.com"/>
    <s v="15-Feb-2024"/>
    <x v="1"/>
    <x v="3"/>
    <m/>
    <s v="Interested"/>
  </r>
  <r>
    <s v="LD0343"/>
    <x v="7"/>
    <x v="1"/>
    <n v="9634591123"/>
    <s v="amit.verma84@gmail.com"/>
    <s v="17-Jan-2024"/>
    <x v="1"/>
    <x v="8"/>
    <s v="Yes"/>
    <s v="Not picking up"/>
  </r>
  <r>
    <s v="LD0480"/>
    <x v="5"/>
    <x v="6"/>
    <m/>
    <m/>
    <s v="29-Feb-2024"/>
    <x v="2"/>
    <x v="8"/>
    <s v="Yes"/>
    <m/>
  </r>
  <r>
    <s v="LD0122"/>
    <x v="4"/>
    <x v="2"/>
    <n v="9291086771"/>
    <m/>
    <s v="04-Feb-2024"/>
    <x v="0"/>
    <x v="2"/>
    <m/>
    <s v="Demo done"/>
  </r>
  <r>
    <s v="LD0264"/>
    <x v="8"/>
    <x v="1"/>
    <n v="9262044397"/>
    <s v="sneha.joshi59@gmail.com"/>
    <s v="11-Jan-2024"/>
    <x v="0"/>
    <x v="0"/>
    <s v="No"/>
    <m/>
  </r>
  <r>
    <s v="LD0309"/>
    <x v="8"/>
    <x v="4"/>
    <n v="9411800537"/>
    <s v="sneha.joshi77@gmail.com"/>
    <s v="06-Jan-2024"/>
    <x v="2"/>
    <x v="2"/>
    <s v="Yes"/>
    <m/>
  </r>
  <r>
    <s v="LD0170"/>
    <x v="5"/>
    <x v="3"/>
    <n v="9924287572"/>
    <s v="divya.nair19@gmail.com"/>
    <s v="03-Feb-2024"/>
    <x v="1"/>
    <x v="7"/>
    <s v="No"/>
    <s v="Follow up pending"/>
  </r>
  <r>
    <s v="LD0443"/>
    <x v="1"/>
    <x v="0"/>
    <n v="9948562572"/>
    <s v="karan.patel57@gmail.com"/>
    <s v="01-Jul-2024"/>
    <x v="4"/>
    <x v="7"/>
    <s v="No"/>
    <s v="Interested"/>
  </r>
  <r>
    <s v="LD0035"/>
    <x v="2"/>
    <x v="6"/>
    <n v="9170758777"/>
    <s v="anjali.gupta16@gmail.com"/>
    <s v="14-Feb-2024"/>
    <x v="3"/>
    <x v="8"/>
    <m/>
    <s v="Not picking up"/>
  </r>
  <r>
    <s v="LD0313"/>
    <x v="1"/>
    <x v="3"/>
    <m/>
    <m/>
    <s v="12-Feb-2024"/>
    <x v="2"/>
    <x v="4"/>
    <s v="No"/>
    <s v="Closed deal"/>
  </r>
  <r>
    <s v="LD0031"/>
    <x v="6"/>
    <x v="2"/>
    <n v="9774905097"/>
    <s v="priya.mehta73@gmail.com"/>
    <s v="17-Jan-2024"/>
    <x v="1"/>
    <x v="5"/>
    <s v="Yes"/>
    <s v="Interested"/>
  </r>
  <r>
    <s v="LD0466"/>
    <x v="6"/>
    <x v="6"/>
    <n v="9642361032"/>
    <s v="priya.mehta97@gmail.com"/>
    <s v="24-Mar-2024"/>
    <x v="0"/>
    <x v="2"/>
    <s v="No"/>
    <s v="Price issue"/>
  </r>
  <r>
    <s v="LD0004"/>
    <x v="7"/>
    <x v="5"/>
    <n v="9837767499"/>
    <m/>
    <s v="24-Feb-2024"/>
    <x v="4"/>
    <x v="2"/>
    <s v="Yes"/>
    <s v="Interested"/>
  </r>
  <r>
    <s v="LD0497"/>
    <x v="5"/>
    <x v="4"/>
    <n v="9788147617"/>
    <m/>
    <s v="17-Jan-2024"/>
    <x v="3"/>
    <x v="5"/>
    <s v="Yes"/>
    <s v="Interested"/>
  </r>
  <r>
    <s v="LD0315"/>
    <x v="6"/>
    <x v="3"/>
    <m/>
    <m/>
    <s v="25-Mar-2024"/>
    <x v="4"/>
    <x v="2"/>
    <s v="Yes"/>
    <s v="Call back tomorrow"/>
  </r>
  <r>
    <s v="LD0445"/>
    <x v="4"/>
    <x v="4"/>
    <n v="9794523219"/>
    <m/>
    <s v="09-Mar-2024"/>
    <x v="1"/>
    <x v="3"/>
    <s v="No"/>
    <s v="Follow up pending"/>
  </r>
  <r>
    <s v="LD0392"/>
    <x v="2"/>
    <x v="4"/>
    <n v="9749956412"/>
    <m/>
    <s v="15-Jan-2024"/>
    <x v="3"/>
    <x v="1"/>
    <s v="No"/>
    <s v="Not picking up"/>
  </r>
  <r>
    <s v="LD0302"/>
    <x v="8"/>
    <x v="5"/>
    <n v="9314727601"/>
    <s v="sneha.joshi57@gmail.com"/>
    <s v="03-Mar-2024"/>
    <x v="1"/>
    <x v="1"/>
    <s v="No"/>
    <s v="Price issue"/>
  </r>
  <r>
    <s v="LD0011"/>
    <x v="4"/>
    <x v="2"/>
    <n v="9679984076"/>
    <s v="rohit.singh87@gmail.com"/>
    <s v="03-Mar-2024"/>
    <x v="1"/>
    <x v="2"/>
    <s v="Yes"/>
    <s v="Closed deal"/>
  </r>
  <r>
    <s v="LD0174"/>
    <x v="6"/>
    <x v="6"/>
    <m/>
    <s v="priya.mehta30@gmail.com"/>
    <s v="03-May-2024"/>
    <x v="1"/>
    <x v="6"/>
    <s v="No"/>
    <s v="Price issue"/>
  </r>
  <r>
    <s v="LD0399"/>
    <x v="4"/>
    <x v="4"/>
    <n v="9729341722"/>
    <s v="rohit.singh54@gmail.com"/>
    <s v="04-Mar-2024"/>
    <x v="3"/>
    <x v="3"/>
    <s v="Yes"/>
    <s v="Closed deal"/>
  </r>
  <r>
    <s v="LD0116"/>
    <x v="1"/>
    <x v="1"/>
    <n v="9015619318"/>
    <s v="karan.patel46@gmail.com"/>
    <s v="06-Jan-2024"/>
    <x v="4"/>
    <x v="4"/>
    <s v="No"/>
    <s v="Interested"/>
  </r>
  <r>
    <s v="LD0424"/>
    <x v="2"/>
    <x v="5"/>
    <m/>
    <m/>
    <s v="27-Jan-2024"/>
    <x v="4"/>
    <x v="6"/>
    <m/>
    <s v="Wrong number"/>
  </r>
  <r>
    <s v="LD0062"/>
    <x v="2"/>
    <x v="0"/>
    <n v="9213760375"/>
    <m/>
    <s v="17-Feb-2024"/>
    <x v="1"/>
    <x v="1"/>
    <s v="No"/>
    <s v="Wrong number"/>
  </r>
  <r>
    <s v="LD0232"/>
    <x v="0"/>
    <x v="6"/>
    <n v="9678507208"/>
    <m/>
    <s v="10-Feb-2024"/>
    <x v="4"/>
    <x v="2"/>
    <m/>
    <s v="Interested"/>
  </r>
  <r>
    <s v="LD0265"/>
    <x v="7"/>
    <x v="5"/>
    <n v="9466845504"/>
    <m/>
    <s v="21-Feb-2024"/>
    <x v="3"/>
    <x v="6"/>
    <s v="No"/>
    <s v="Closed deal"/>
  </r>
  <r>
    <s v="LD0225"/>
    <x v="0"/>
    <x v="2"/>
    <n v="9856288431"/>
    <s v="rohit.singh97@gmail.com"/>
    <s v="22-Mar-2024"/>
    <x v="1"/>
    <x v="7"/>
    <m/>
    <s v="Wrong number"/>
  </r>
  <r>
    <s v="LD0493"/>
    <x v="1"/>
    <x v="0"/>
    <m/>
    <m/>
    <s v="08-Feb-2024"/>
    <x v="0"/>
    <x v="1"/>
    <m/>
    <s v="Wrong number"/>
  </r>
  <r>
    <s v="LD0415"/>
    <x v="8"/>
    <x v="4"/>
    <m/>
    <s v="sneha.joshi19@gmail.com"/>
    <s v="24-Feb-2024"/>
    <x v="0"/>
    <x v="2"/>
    <s v="No"/>
    <s v="Follow up pending"/>
  </r>
  <r>
    <s v="LD0260"/>
    <x v="8"/>
    <x v="5"/>
    <n v="9698864976"/>
    <s v="sneha.joshi94@gmail.com"/>
    <s v="23-Feb-2024"/>
    <x v="4"/>
    <x v="6"/>
    <s v="No"/>
    <s v="Follow up pending"/>
  </r>
  <r>
    <s v="LD0103"/>
    <x v="7"/>
    <x v="2"/>
    <n v="9770285196"/>
    <m/>
    <s v="14-Mar-2024"/>
    <x v="1"/>
    <x v="4"/>
    <s v="Yes"/>
    <s v="Price issue"/>
  </r>
  <r>
    <s v="LD0359"/>
    <x v="5"/>
    <x v="2"/>
    <n v="9296044327"/>
    <m/>
    <s v="14-Feb-2024"/>
    <x v="1"/>
    <x v="5"/>
    <s v="Yes"/>
    <s v="Follow up pending"/>
  </r>
  <r>
    <s v="LD0289"/>
    <x v="5"/>
    <x v="4"/>
    <m/>
    <s v="divya.nair50@gmail.com"/>
    <s v="30-Jan-2024"/>
    <x v="1"/>
    <x v="6"/>
    <s v="No"/>
    <s v="Price issue"/>
  </r>
  <r>
    <s v="LD0401"/>
    <x v="6"/>
    <x v="3"/>
    <n v="9818139890"/>
    <s v="priya.mehta65@gmail.com"/>
    <s v="03-Jan-2024"/>
    <x v="4"/>
    <x v="5"/>
    <m/>
    <s v="Demo done"/>
  </r>
  <r>
    <s v="LD0311"/>
    <x v="8"/>
    <x v="5"/>
    <n v="9956907056"/>
    <s v="sneha.joshi41@gmail.com"/>
    <s v="18-Feb-2024"/>
    <x v="0"/>
    <x v="4"/>
    <s v="Yes"/>
    <s v="Not picking up"/>
  </r>
  <r>
    <s v="LD0448"/>
    <x v="1"/>
    <x v="5"/>
    <m/>
    <m/>
    <s v="19-Feb-2024"/>
    <x v="1"/>
    <x v="0"/>
    <s v="Yes"/>
    <m/>
  </r>
  <r>
    <s v="LD0426"/>
    <x v="6"/>
    <x v="5"/>
    <n v="9937886140"/>
    <s v="priya.mehta62@gmail.com"/>
    <s v="04-Jan-2024"/>
    <x v="3"/>
    <x v="3"/>
    <s v="Yes"/>
    <s v="Wrong number"/>
  </r>
  <r>
    <s v="LD0085"/>
    <x v="6"/>
    <x v="4"/>
    <n v="9496718325"/>
    <s v="priya.mehta69@gmail.com"/>
    <s v="24-Feb-2024"/>
    <x v="1"/>
    <x v="7"/>
    <s v="No"/>
    <s v="Price issue"/>
  </r>
  <r>
    <s v="LD0282"/>
    <x v="7"/>
    <x v="5"/>
    <n v="9494653984"/>
    <s v="amit.verma9@gmail.com"/>
    <s v="08-Feb-2024"/>
    <x v="0"/>
    <x v="8"/>
    <s v="No"/>
    <s v="Wrong number"/>
  </r>
  <r>
    <s v="LD0244"/>
    <x v="1"/>
    <x v="3"/>
    <n v="9547435537"/>
    <s v="karan.patel18@gmail.com"/>
    <s v="23-Mar-2024"/>
    <x v="0"/>
    <x v="7"/>
    <s v="Yes"/>
    <s v="Not picking up"/>
  </r>
  <r>
    <s v="LD0338"/>
    <x v="4"/>
    <x v="4"/>
    <m/>
    <s v="rohit.singh50@gmail.com"/>
    <s v="23-Jan-2024"/>
    <x v="0"/>
    <x v="1"/>
    <s v="No"/>
    <s v="Interested"/>
  </r>
  <r>
    <s v="LD0066"/>
    <x v="8"/>
    <x v="4"/>
    <n v="9319433750"/>
    <s v="sneha.joshi78@gmail.com"/>
    <s v="27-Jan-2024"/>
    <x v="3"/>
    <x v="2"/>
    <s v="Yes"/>
    <s v="Price issue"/>
  </r>
  <r>
    <s v="LD0065"/>
    <x v="3"/>
    <x v="4"/>
    <n v="9992192124"/>
    <s v="anjali.gupta94@gmail.com"/>
    <s v="02-May-2024"/>
    <x v="1"/>
    <x v="5"/>
    <s v="No"/>
    <s v="Wrong number"/>
  </r>
  <r>
    <s v="LD0273"/>
    <x v="2"/>
    <x v="4"/>
    <n v="9566418775"/>
    <s v="anjali.gupta29@gmail.com"/>
    <s v="07-Jan-2024"/>
    <x v="0"/>
    <x v="0"/>
    <s v="Yes"/>
    <m/>
  </r>
  <r>
    <s v="LD0492"/>
    <x v="8"/>
    <x v="5"/>
    <n v="9036133254"/>
    <m/>
    <s v="02-Mar-2024"/>
    <x v="1"/>
    <x v="0"/>
    <m/>
    <s v="Price issue"/>
  </r>
  <r>
    <s v="LD0249"/>
    <x v="8"/>
    <x v="0"/>
    <n v="9583199717"/>
    <m/>
    <s v="08-Jan-2024"/>
    <x v="0"/>
    <x v="4"/>
    <m/>
    <s v="Not picking up"/>
  </r>
  <r>
    <s v="LD0044"/>
    <x v="9"/>
    <x v="5"/>
    <n v="9611080466"/>
    <s v="rahul.sharma77@gmail.com"/>
    <s v="25-Mar-2024"/>
    <x v="0"/>
    <x v="2"/>
    <s v="Yes"/>
    <s v="Call back tomorrow"/>
  </r>
  <r>
    <s v="LD0486"/>
    <x v="5"/>
    <x v="0"/>
    <n v="9311091939"/>
    <s v="divya.nair54@gmail.com"/>
    <s v="02-Mar-2024"/>
    <x v="4"/>
    <x v="3"/>
    <s v="Yes"/>
    <s v="Not picking up"/>
  </r>
  <r>
    <s v="LD0436"/>
    <x v="1"/>
    <x v="4"/>
    <n v="9498227495"/>
    <m/>
    <s v="16-Mar-2024"/>
    <x v="1"/>
    <x v="3"/>
    <s v="No"/>
    <s v="Closed deal"/>
  </r>
  <r>
    <s v="LD0124"/>
    <x v="8"/>
    <x v="1"/>
    <n v="9537795995"/>
    <s v="sneha.joshi14@gmail.com"/>
    <s v="28-Feb-2024"/>
    <x v="0"/>
    <x v="3"/>
    <s v="No"/>
    <s v="Demo done"/>
  </r>
  <r>
    <s v="LD0030"/>
    <x v="8"/>
    <x v="1"/>
    <n v="9563620501"/>
    <m/>
    <s v="15-Jan-2024"/>
    <x v="2"/>
    <x v="0"/>
    <s v="Yes"/>
    <s v="Interested"/>
  </r>
  <r>
    <s v="LD0123"/>
    <x v="8"/>
    <x v="1"/>
    <n v="9258323024"/>
    <m/>
    <s v="27-Mar-2024"/>
    <x v="0"/>
    <x v="4"/>
    <s v="Yes"/>
    <s v="Demo done"/>
  </r>
  <r>
    <s v="LD0158"/>
    <x v="1"/>
    <x v="5"/>
    <n v="9289611223"/>
    <s v="karan.patel41@gmail.com"/>
    <s v="17-Mar-2024"/>
    <x v="3"/>
    <x v="1"/>
    <m/>
    <s v="Wrong number"/>
  </r>
  <r>
    <s v="LD0414"/>
    <x v="1"/>
    <x v="2"/>
    <n v="9289731791"/>
    <s v="karan.patel83@gmail.com"/>
    <s v="06-Mar-2024"/>
    <x v="0"/>
    <x v="8"/>
    <s v="Yes"/>
    <s v="Closed deal"/>
  </r>
  <r>
    <s v="LD0381"/>
    <x v="2"/>
    <x v="3"/>
    <n v="9903337363"/>
    <s v="anjali.gupta21@gmail.com"/>
    <s v="17-Feb-2024"/>
    <x v="0"/>
    <x v="4"/>
    <s v="Yes"/>
    <s v="Follow up pending"/>
  </r>
  <r>
    <s v="LD0010"/>
    <x v="5"/>
    <x v="6"/>
    <n v="9956776657"/>
    <m/>
    <s v="26-Feb-2024"/>
    <x v="2"/>
    <x v="0"/>
    <s v="Yes"/>
    <s v="Price issue"/>
  </r>
  <r>
    <s v="LD0251"/>
    <x v="6"/>
    <x v="2"/>
    <n v="9150835354"/>
    <s v="priya.mehta36@gmail.com"/>
    <s v="25-Jan-2024"/>
    <x v="2"/>
    <x v="7"/>
    <s v="Yes"/>
    <s v="Price issue"/>
  </r>
  <r>
    <s v="LD0166"/>
    <x v="5"/>
    <x v="5"/>
    <n v="9078263337"/>
    <s v="divya.nair97@gmail.com"/>
    <s v="29-Feb-2024"/>
    <x v="1"/>
    <x v="0"/>
    <m/>
    <s v="Demo done"/>
  </r>
  <r>
    <s v="LD0307"/>
    <x v="4"/>
    <x v="6"/>
    <n v="9052924075"/>
    <s v="rohit.singh97@gmail.com"/>
    <s v="21-Feb-2024"/>
    <x v="1"/>
    <x v="3"/>
    <s v="No"/>
    <s v="Not picking up"/>
  </r>
  <r>
    <s v="LD0001"/>
    <x v="5"/>
    <x v="1"/>
    <m/>
    <m/>
    <s v="14-Jan-2024"/>
    <x v="1"/>
    <x v="6"/>
    <s v="Yes"/>
    <s v="Not picking up"/>
  </r>
  <r>
    <s v="LD0272"/>
    <x v="8"/>
    <x v="6"/>
    <n v="9334817058"/>
    <s v="sneha.joshi53@gmail.com"/>
    <s v="20-Feb-2024"/>
    <x v="0"/>
    <x v="2"/>
    <s v="No"/>
    <s v="Call back tomorrow"/>
  </r>
  <r>
    <s v="LD0277"/>
    <x v="0"/>
    <x v="1"/>
    <m/>
    <s v="rohit.singh1@gmail.com"/>
    <s v="19-Jan-2024"/>
    <x v="0"/>
    <x v="1"/>
    <s v="Yes"/>
    <s v="Closed deal"/>
  </r>
  <r>
    <s v="LD0083"/>
    <x v="2"/>
    <x v="2"/>
    <n v="9475469263"/>
    <s v="anjali.gupta59@gmail.com"/>
    <s v="19-Feb-2024"/>
    <x v="0"/>
    <x v="3"/>
    <s v="No"/>
    <s v="Not picking up"/>
  </r>
  <r>
    <s v="LD0192"/>
    <x v="1"/>
    <x v="2"/>
    <n v="9768151185"/>
    <s v="karan.patel65@gmail.com"/>
    <s v="06-Jan-2024"/>
    <x v="1"/>
    <x v="7"/>
    <s v="No"/>
    <s v="Follow up pending"/>
  </r>
  <r>
    <s v="LD0405"/>
    <x v="4"/>
    <x v="5"/>
    <n v="9600412577"/>
    <m/>
    <s v="03-Nov-2024"/>
    <x v="0"/>
    <x v="5"/>
    <m/>
    <s v="Not picking up"/>
  </r>
  <r>
    <s v="LD0102"/>
    <x v="7"/>
    <x v="1"/>
    <n v="9186210427"/>
    <s v="amit.verma87@gmail.com"/>
    <s v="03-Sep-2024"/>
    <x v="0"/>
    <x v="4"/>
    <s v="No"/>
    <s v="Price issue"/>
  </r>
  <r>
    <s v="LD0465"/>
    <x v="2"/>
    <x v="2"/>
    <n v="9335331060"/>
    <m/>
    <s v="26-Mar-2024"/>
    <x v="3"/>
    <x v="4"/>
    <m/>
    <s v="Not picking up"/>
  </r>
  <r>
    <s v="LD0375"/>
    <x v="7"/>
    <x v="2"/>
    <n v="9583938661"/>
    <s v="amit.verma23@gmail.com"/>
    <s v="02-Jan-2024"/>
    <x v="1"/>
    <x v="7"/>
    <s v="No"/>
    <s v="Follow up pending"/>
  </r>
  <r>
    <s v="LD0455"/>
    <x v="8"/>
    <x v="0"/>
    <m/>
    <s v="sneha.joshi73@gmail.com"/>
    <s v="22-Jan-2024"/>
    <x v="0"/>
    <x v="2"/>
    <s v="No"/>
    <s v="Not picking up"/>
  </r>
  <r>
    <s v="LD0153"/>
    <x v="5"/>
    <x v="4"/>
    <m/>
    <s v="divya.nair91@gmail.com"/>
    <s v="01-Feb-2024"/>
    <x v="1"/>
    <x v="4"/>
    <s v="Yes"/>
    <s v="Demo done"/>
  </r>
  <r>
    <s v="LD0321"/>
    <x v="0"/>
    <x v="2"/>
    <m/>
    <s v="rohit.singh95@gmail.com"/>
    <s v="02-Dec-2024"/>
    <x v="2"/>
    <x v="3"/>
    <s v="Yes"/>
    <m/>
  </r>
  <r>
    <s v="LD0055"/>
    <x v="1"/>
    <x v="4"/>
    <n v="9533803396"/>
    <s v="karan.patel1@gmail.com"/>
    <s v="09-Jan-2024"/>
    <x v="0"/>
    <x v="3"/>
    <s v="No"/>
    <s v="Not picking up"/>
  </r>
  <r>
    <s v="LD0260"/>
    <x v="8"/>
    <x v="5"/>
    <m/>
    <s v="sneha.joshi78@gmail.com"/>
    <s v="01-Feb-2024"/>
    <x v="2"/>
    <x v="1"/>
    <s v="Yes"/>
    <s v="Follow up pending"/>
  </r>
  <r>
    <s v="LD0092"/>
    <x v="6"/>
    <x v="1"/>
    <n v="9768962706"/>
    <s v="priya.mehta39@gmail.com"/>
    <s v="17-Mar-2024"/>
    <x v="4"/>
    <x v="6"/>
    <s v="Yes"/>
    <s v="Follow up pending"/>
  </r>
  <r>
    <s v="LD0257"/>
    <x v="1"/>
    <x v="6"/>
    <m/>
    <s v="karan.patel54@gmail.com"/>
    <s v="20-Feb-2024"/>
    <x v="0"/>
    <x v="4"/>
    <s v="No"/>
    <s v="Interested"/>
  </r>
  <r>
    <s v="LD0420"/>
    <x v="6"/>
    <x v="1"/>
    <m/>
    <s v="priya.mehta47@gmail.com"/>
    <s v="21-Mar-2024"/>
    <x v="4"/>
    <x v="6"/>
    <s v="No"/>
    <s v="Not picking up"/>
  </r>
  <r>
    <s v="LD0369"/>
    <x v="1"/>
    <x v="4"/>
    <n v="9011669183"/>
    <s v="karan.patel89@gmail.com"/>
    <s v="08-Feb-2024"/>
    <x v="2"/>
    <x v="4"/>
    <s v="Yes"/>
    <s v="Closed deal"/>
  </r>
  <r>
    <s v="LD0389"/>
    <x v="7"/>
    <x v="4"/>
    <n v="9402701168"/>
    <s v="amit.verma22@gmail.com"/>
    <s v="23-Jan-2024"/>
    <x v="4"/>
    <x v="1"/>
    <s v="No"/>
    <s v="Not picking up"/>
  </r>
  <r>
    <s v="LD0002"/>
    <x v="6"/>
    <x v="1"/>
    <m/>
    <m/>
    <s v="11-Jan-2024"/>
    <x v="0"/>
    <x v="0"/>
    <s v="Yes"/>
    <s v="Demo done"/>
  </r>
  <r>
    <s v="LD0479"/>
    <x v="2"/>
    <x v="2"/>
    <n v="9040901380"/>
    <s v="anjali.gupta98@gmail.com"/>
    <s v="04-Feb-2024"/>
    <x v="0"/>
    <x v="2"/>
    <s v="Yes"/>
    <s v="Closed deal"/>
  </r>
  <r>
    <s v="LD0081"/>
    <x v="5"/>
    <x v="0"/>
    <m/>
    <s v="divya.nair4@gmail.com"/>
    <s v="18-Mar-2024"/>
    <x v="2"/>
    <x v="1"/>
    <s v="Yes"/>
    <s v="Follow up pending"/>
  </r>
  <r>
    <s v="LD0223"/>
    <x v="2"/>
    <x v="2"/>
    <m/>
    <m/>
    <s v="24-Feb-2024"/>
    <x v="0"/>
    <x v="5"/>
    <s v="Yes"/>
    <s v="Demo done"/>
  </r>
  <r>
    <s v="LD0059"/>
    <x v="7"/>
    <x v="5"/>
    <n v="9027148727"/>
    <s v="amit.verma32@gmail.com"/>
    <s v="28-Jan-2024"/>
    <x v="0"/>
    <x v="3"/>
    <s v="No"/>
    <s v="Closed deal"/>
  </r>
  <r>
    <s v="LD0058"/>
    <x v="4"/>
    <x v="0"/>
    <n v="9128715399"/>
    <s v="rohit.singh92@gmail.com"/>
    <s v="18-Feb-2024"/>
    <x v="3"/>
    <x v="4"/>
    <s v="Yes"/>
    <s v="Call back tomorrow"/>
  </r>
  <r>
    <s v="LD0175"/>
    <x v="6"/>
    <x v="3"/>
    <n v="9195256904"/>
    <m/>
    <s v="19-Feb-2024"/>
    <x v="1"/>
    <x v="8"/>
    <s v="Yes"/>
    <s v="Demo done"/>
  </r>
  <r>
    <s v="LD0329"/>
    <x v="6"/>
    <x v="5"/>
    <n v="9524377294"/>
    <s v="priya.mehta90@gmail.com"/>
    <s v="05-Jan-2024"/>
    <x v="2"/>
    <x v="4"/>
    <s v="Yes"/>
    <s v="Follow up pending"/>
  </r>
  <r>
    <s v="LD0470"/>
    <x v="8"/>
    <x v="6"/>
    <m/>
    <s v="sneha.joshi3@gmail.com"/>
    <s v="11-Mar-2024"/>
    <x v="1"/>
    <x v="6"/>
    <s v="Yes"/>
    <m/>
  </r>
  <r>
    <s v="LD0385"/>
    <x v="4"/>
    <x v="0"/>
    <n v="9386125904"/>
    <s v="rohit.singh57@gmail.com"/>
    <s v="30-Mar-2024"/>
    <x v="2"/>
    <x v="1"/>
    <s v="No"/>
    <s v="Demo done"/>
  </r>
  <r>
    <s v="LD0379"/>
    <x v="10"/>
    <x v="3"/>
    <n v="9266201572"/>
    <m/>
    <s v="06-Mar-2024"/>
    <x v="0"/>
    <x v="2"/>
    <s v="No"/>
    <s v="Interested"/>
  </r>
  <r>
    <s v="LD0468"/>
    <x v="6"/>
    <x v="0"/>
    <n v="9261764750"/>
    <m/>
    <s v="16-Jan-2024"/>
    <x v="3"/>
    <x v="7"/>
    <s v="Yes"/>
    <s v="Follow up pending"/>
  </r>
  <r>
    <s v="LD0059"/>
    <x v="1"/>
    <x v="1"/>
    <n v="9764921518"/>
    <s v="karan.patel51@gmail.com"/>
    <s v="12-Mar-2024"/>
    <x v="0"/>
    <x v="4"/>
    <m/>
    <s v="Demo done"/>
  </r>
  <r>
    <s v="LD0370"/>
    <x v="6"/>
    <x v="4"/>
    <m/>
    <s v="priya.mehta97@gmail.com"/>
    <s v="05-Jan-2024"/>
    <x v="0"/>
    <x v="0"/>
    <s v="Yes"/>
    <s v="Not picking up"/>
  </r>
  <r>
    <s v="LD0402"/>
    <x v="4"/>
    <x v="2"/>
    <n v="9487297585"/>
    <s v="rohit.singh13@gmail.com"/>
    <s v="25-Mar-2024"/>
    <x v="3"/>
    <x v="7"/>
    <s v="No"/>
    <s v="Price issue"/>
  </r>
  <r>
    <s v="LD0006"/>
    <x v="8"/>
    <x v="1"/>
    <n v="9542961844"/>
    <m/>
    <s v="28-Feb-2024"/>
    <x v="2"/>
    <x v="8"/>
    <s v="Yes"/>
    <s v="Demo done"/>
  </r>
  <r>
    <s v="LD0284"/>
    <x v="6"/>
    <x v="4"/>
    <n v="9598926256"/>
    <m/>
    <s v="18-Mar-2024"/>
    <x v="0"/>
    <x v="4"/>
    <s v="No"/>
    <s v="Wrong number"/>
  </r>
  <r>
    <s v="LD0129"/>
    <x v="4"/>
    <x v="2"/>
    <n v="9542340163"/>
    <s v="rohit.singh16@gmail.com"/>
    <s v="23-Jan-2024"/>
    <x v="0"/>
    <x v="0"/>
    <s v="No"/>
    <s v="Price issue"/>
  </r>
  <r>
    <s v="LD0281"/>
    <x v="1"/>
    <x v="5"/>
    <n v="9256258896"/>
    <s v="karan.patel88@gmail.com"/>
    <s v="03-Jun-2024"/>
    <x v="4"/>
    <x v="5"/>
    <s v="Yes"/>
    <s v="Closed deal"/>
  </r>
  <r>
    <s v="LD0240"/>
    <x v="8"/>
    <x v="6"/>
    <n v="9757844683"/>
    <m/>
    <s v="09-Feb-2024"/>
    <x v="1"/>
    <x v="4"/>
    <s v="Yes"/>
    <s v="Demo done"/>
  </r>
  <r>
    <s v="LD0400"/>
    <x v="6"/>
    <x v="2"/>
    <m/>
    <s v="priya.mehta90@gmail.com"/>
    <s v="16-Jan-2024"/>
    <x v="1"/>
    <x v="3"/>
    <s v="No"/>
    <m/>
  </r>
  <r>
    <s v="LD0196"/>
    <x v="5"/>
    <x v="4"/>
    <n v="9909728321"/>
    <s v="divya.nair7@gmail.com"/>
    <s v="24-Feb-2024"/>
    <x v="0"/>
    <x v="4"/>
    <s v="Yes"/>
    <s v="Demo done"/>
  </r>
  <r>
    <s v="LD0198"/>
    <x v="6"/>
    <x v="0"/>
    <n v="9309634807"/>
    <m/>
    <s v="01-Jan-2024"/>
    <x v="1"/>
    <x v="4"/>
    <s v="Yes"/>
    <s v="Closed deal"/>
  </r>
  <r>
    <s v="LD0033"/>
    <x v="7"/>
    <x v="2"/>
    <n v="9731882617"/>
    <s v="amit.verma29@gmail.com"/>
    <s v="01-Mar-2024"/>
    <x v="1"/>
    <x v="2"/>
    <s v="No"/>
    <s v="Wrong number"/>
  </r>
  <r>
    <s v="LD0306"/>
    <x v="1"/>
    <x v="4"/>
    <n v="9225605313"/>
    <m/>
    <s v="20-Feb-2024"/>
    <x v="1"/>
    <x v="8"/>
    <s v="No"/>
    <s v="Demo done"/>
  </r>
  <r>
    <s v="LD0217"/>
    <x v="2"/>
    <x v="5"/>
    <n v="9872568621"/>
    <m/>
    <s v="14-Feb-2024"/>
    <x v="3"/>
    <x v="7"/>
    <m/>
    <s v="Closed deal"/>
  </r>
  <r>
    <s v="LD0015"/>
    <x v="4"/>
    <x v="6"/>
    <n v="9447163928"/>
    <s v="rohit.singh34@gmail.com"/>
    <s v="30-Mar-2024"/>
    <x v="0"/>
    <x v="4"/>
    <s v="No"/>
    <s v="Wrong number"/>
  </r>
  <r>
    <s v="LD0082"/>
    <x v="11"/>
    <x v="3"/>
    <n v="9312604326"/>
    <m/>
    <s v="07-Jan-2024"/>
    <x v="0"/>
    <x v="1"/>
    <s v="No"/>
    <s v="Closed deal"/>
  </r>
  <r>
    <s v="LD0500"/>
    <x v="4"/>
    <x v="5"/>
    <n v="9041454563"/>
    <m/>
    <s v="01-Jan-2024"/>
    <x v="1"/>
    <x v="6"/>
    <s v="Yes"/>
    <s v="Call back tomorrow"/>
  </r>
  <r>
    <s v="LD0079"/>
    <x v="0"/>
    <x v="6"/>
    <m/>
    <s v="rohit.singh76@gmail.com"/>
    <s v="08-Mar-2024"/>
    <x v="3"/>
    <x v="1"/>
    <s v="Yes"/>
    <m/>
  </r>
  <r>
    <s v="LD0057"/>
    <x v="6"/>
    <x v="4"/>
    <n v="9109337118"/>
    <s v="priya.mehta98@gmail.com"/>
    <s v="26-Jan-2024"/>
    <x v="1"/>
    <x v="2"/>
    <s v="Yes"/>
    <s v="Price issue"/>
  </r>
  <r>
    <s v="LD0025"/>
    <x v="5"/>
    <x v="4"/>
    <n v="9617688029"/>
    <m/>
    <s v="06-Jan-2024"/>
    <x v="3"/>
    <x v="2"/>
    <s v="No"/>
    <s v="Wrong number"/>
  </r>
  <r>
    <s v="LD0387"/>
    <x v="6"/>
    <x v="3"/>
    <n v="9866943202"/>
    <s v="priya.mehta66@gmail.com"/>
    <s v="28-Feb-2024"/>
    <x v="2"/>
    <x v="5"/>
    <s v="No"/>
    <s v="Price issue"/>
  </r>
  <r>
    <s v="LD0047"/>
    <x v="6"/>
    <x v="3"/>
    <n v="9402424033"/>
    <m/>
    <s v="24-Mar-2024"/>
    <x v="1"/>
    <x v="5"/>
    <s v="No"/>
    <s v="Not picking up"/>
  </r>
  <r>
    <s v="LD0253"/>
    <x v="4"/>
    <x v="2"/>
    <m/>
    <s v="rohit.singh84@gmail.com"/>
    <s v="02-Feb-2024"/>
    <x v="0"/>
    <x v="5"/>
    <s v="No"/>
    <m/>
  </r>
  <r>
    <s v="LD0261"/>
    <x v="7"/>
    <x v="4"/>
    <n v="9527172722"/>
    <s v="amit.verma24@gmail.com"/>
    <s v="23-Mar-2024"/>
    <x v="1"/>
    <x v="8"/>
    <m/>
    <m/>
  </r>
  <r>
    <s v="LD0071"/>
    <x v="8"/>
    <x v="6"/>
    <n v="9761820916"/>
    <m/>
    <s v="02-Jan-2024"/>
    <x v="4"/>
    <x v="4"/>
    <s v="Yes"/>
    <s v="Not picking up"/>
  </r>
  <r>
    <s v="LD0452"/>
    <x v="9"/>
    <x v="2"/>
    <n v="9513279724"/>
    <s v="rahul.sharma70@gmail.com"/>
    <s v="29-Mar-2024"/>
    <x v="0"/>
    <x v="7"/>
    <s v="Yes"/>
    <s v="Call back tomorrow"/>
  </r>
  <r>
    <s v="LD0496"/>
    <x v="1"/>
    <x v="5"/>
    <m/>
    <s v="karan.patel88@gmail.com"/>
    <s v="19-Feb-2024"/>
    <x v="0"/>
    <x v="4"/>
    <s v="No"/>
    <s v="Call back tomorrow"/>
  </r>
  <r>
    <s v="LD0205"/>
    <x v="1"/>
    <x v="5"/>
    <n v="9151092268"/>
    <s v="karan.patel20@gmail.com"/>
    <s v="26-Mar-2024"/>
    <x v="2"/>
    <x v="4"/>
    <s v="Yes"/>
    <s v="Follow up pending"/>
  </r>
  <r>
    <s v="LD0299"/>
    <x v="5"/>
    <x v="4"/>
    <n v="9022526771"/>
    <s v="divya.nair36@gmail.com"/>
    <s v="19-Jan-2024"/>
    <x v="1"/>
    <x v="8"/>
    <m/>
    <m/>
  </r>
  <r>
    <s v="LD0220"/>
    <x v="5"/>
    <x v="6"/>
    <n v="9952366878"/>
    <s v="divya.nair30@gmail.com"/>
    <s v="19-Feb-2024"/>
    <x v="0"/>
    <x v="1"/>
    <s v="No"/>
    <s v="Call back tomorrow"/>
  </r>
  <r>
    <s v="LD0300"/>
    <x v="8"/>
    <x v="5"/>
    <n v="9587210552"/>
    <s v="sneha.joshi71@gmail.com"/>
    <s v="23-Feb-2024"/>
    <x v="3"/>
    <x v="3"/>
    <s v="No"/>
    <s v="Not picking up"/>
  </r>
  <r>
    <s v="LD0383"/>
    <x v="6"/>
    <x v="2"/>
    <n v="9501917920"/>
    <m/>
    <s v="10-Jan-2024"/>
    <x v="0"/>
    <x v="8"/>
    <s v="No"/>
    <s v="Not picking up"/>
  </r>
  <r>
    <s v="LD0135"/>
    <x v="1"/>
    <x v="0"/>
    <n v="9041200928"/>
    <m/>
    <s v="24-Feb-2024"/>
    <x v="2"/>
    <x v="5"/>
    <s v="No"/>
    <s v="Demo done"/>
  </r>
  <r>
    <s v="LD0276"/>
    <x v="0"/>
    <x v="2"/>
    <m/>
    <s v="rohit.singh10@gmail.com"/>
    <s v="29-Mar-2024"/>
    <x v="0"/>
    <x v="2"/>
    <m/>
    <m/>
  </r>
  <r>
    <s v="LD0288"/>
    <x v="7"/>
    <x v="4"/>
    <n v="9341115950"/>
    <s v="amit.verma9@gmail.com"/>
    <s v="28-Jan-2024"/>
    <x v="2"/>
    <x v="1"/>
    <s v="No"/>
    <s v="Interested"/>
  </r>
  <r>
    <s v="LD0382"/>
    <x v="8"/>
    <x v="5"/>
    <n v="9909700514"/>
    <s v="sneha.joshi51@gmail.com"/>
    <s v="03-May-2024"/>
    <x v="1"/>
    <x v="0"/>
    <s v="No"/>
    <s v="Call back tomorrow"/>
  </r>
  <r>
    <s v="LD0127"/>
    <x v="5"/>
    <x v="3"/>
    <n v="9820967904"/>
    <s v="divya.nair81@gmail.com"/>
    <s v="01-Dec-2024"/>
    <x v="3"/>
    <x v="8"/>
    <m/>
    <s v="Not picking up"/>
  </r>
  <r>
    <s v="LD0072"/>
    <x v="5"/>
    <x v="0"/>
    <n v="9596063399"/>
    <s v="divya.nair64@gmail.com"/>
    <s v="13-Jan-2024"/>
    <x v="4"/>
    <x v="5"/>
    <s v="Yes"/>
    <s v="Call back tomorrow"/>
  </r>
  <r>
    <s v="LD0136"/>
    <x v="2"/>
    <x v="1"/>
    <m/>
    <s v="anjali.gupta61@gmail.com"/>
    <s v="02-Feb-2024"/>
    <x v="4"/>
    <x v="6"/>
    <s v="Yes"/>
    <s v="Closed deal"/>
  </r>
  <r>
    <s v="LD0074"/>
    <x v="1"/>
    <x v="3"/>
    <n v="9758955168"/>
    <s v="karan.patel88@gmail.com"/>
    <s v="06-Jan-2024"/>
    <x v="3"/>
    <x v="3"/>
    <s v="No"/>
    <s v="Call back tomorrow"/>
  </r>
  <r>
    <s v="LD0235"/>
    <x v="1"/>
    <x v="6"/>
    <n v="9367157787"/>
    <m/>
    <s v="14-Jan-2024"/>
    <x v="0"/>
    <x v="0"/>
    <s v="Yes"/>
    <s v="Closed deal"/>
  </r>
  <r>
    <s v="LD0330"/>
    <x v="5"/>
    <x v="4"/>
    <n v="9147082723"/>
    <s v="divya.nair49@gmail.com"/>
    <s v="08-Jan-2024"/>
    <x v="0"/>
    <x v="1"/>
    <s v="Yes"/>
    <s v="Demo done"/>
  </r>
  <r>
    <s v="LD0203"/>
    <x v="9"/>
    <x v="0"/>
    <n v="9121461476"/>
    <s v="rahul.sharma24@gmail.com"/>
    <s v="07-Jan-2024"/>
    <x v="0"/>
    <x v="5"/>
    <s v="No"/>
    <s v="Demo done"/>
  </r>
  <r>
    <s v="LD0256"/>
    <x v="5"/>
    <x v="3"/>
    <m/>
    <s v="divya.nair42@gmail.com"/>
    <s v="26-Mar-2024"/>
    <x v="1"/>
    <x v="6"/>
    <s v="No"/>
    <s v="Follow up pending"/>
  </r>
  <r>
    <s v="LD0336"/>
    <x v="5"/>
    <x v="4"/>
    <n v="9480727910"/>
    <m/>
    <s v="30-Mar-2024"/>
    <x v="0"/>
    <x v="1"/>
    <s v="No"/>
    <s v="Interested"/>
  </r>
  <r>
    <s v="LD0437"/>
    <x v="5"/>
    <x v="5"/>
    <n v="9817766558"/>
    <s v="divya.nair15@gmail.com"/>
    <s v="23-Jan-2024"/>
    <x v="0"/>
    <x v="8"/>
    <s v="Yes"/>
    <m/>
  </r>
  <r>
    <s v="LD0441"/>
    <x v="4"/>
    <x v="4"/>
    <n v="9491111096"/>
    <s v="rohit.singh70@gmail.com"/>
    <s v="13-Jan-2024"/>
    <x v="1"/>
    <x v="2"/>
    <s v="No"/>
    <s v="Demo done"/>
  </r>
  <r>
    <s v="LD0304"/>
    <x v="2"/>
    <x v="5"/>
    <n v="9157660538"/>
    <s v="anjali.gupta40@gmail.com"/>
    <s v="23-Feb-2024"/>
    <x v="1"/>
    <x v="2"/>
    <s v="Yes"/>
    <s v="Interested"/>
  </r>
  <r>
    <s v="LD0291"/>
    <x v="9"/>
    <x v="5"/>
    <n v="9955296386"/>
    <s v="rahul.sharma7@gmail.com"/>
    <s v="14-Mar-2024"/>
    <x v="4"/>
    <x v="2"/>
    <s v="No"/>
    <s v="Not picking up"/>
  </r>
  <r>
    <s v="LD0109"/>
    <x v="4"/>
    <x v="6"/>
    <n v="9128196482"/>
    <m/>
    <s v="25-Feb-2024"/>
    <x v="4"/>
    <x v="7"/>
    <s v="No"/>
    <s v="Wrong number"/>
  </r>
  <r>
    <s v="LD0034"/>
    <x v="6"/>
    <x v="4"/>
    <m/>
    <s v="priya.mehta99@gmail.com"/>
    <s v="03-Feb-2024"/>
    <x v="2"/>
    <x v="8"/>
    <s v="No"/>
    <s v="Interested"/>
  </r>
  <r>
    <s v="LD0138"/>
    <x v="6"/>
    <x v="3"/>
    <m/>
    <m/>
    <s v="03-Jan-2024"/>
    <x v="0"/>
    <x v="4"/>
    <s v="No"/>
    <m/>
  </r>
  <r>
    <s v="LD0206"/>
    <x v="4"/>
    <x v="6"/>
    <n v="9240299015"/>
    <s v="rohit.singh70@gmail.com"/>
    <s v="01-Jan-2024"/>
    <x v="2"/>
    <x v="1"/>
    <s v="Yes"/>
    <s v="Interested"/>
  </r>
  <r>
    <s v="LD0162"/>
    <x v="9"/>
    <x v="1"/>
    <n v="9513052312"/>
    <m/>
    <s v="12-Jan-2024"/>
    <x v="2"/>
    <x v="6"/>
    <s v="No"/>
    <s v="Wrong number"/>
  </r>
  <r>
    <s v="LD0413"/>
    <x v="0"/>
    <x v="1"/>
    <n v="9619942376"/>
    <s v="rohit.singh41@gmail.com"/>
    <s v="20-Mar-2024"/>
    <x v="0"/>
    <x v="0"/>
    <s v="Yes"/>
    <s v="Call back tomorrow"/>
  </r>
  <r>
    <s v="LD0017"/>
    <x v="3"/>
    <x v="3"/>
    <n v="9964985601"/>
    <s v="anjali.gupta24@gmail.com"/>
    <s v="15-Feb-2024"/>
    <x v="0"/>
    <x v="0"/>
    <s v="Yes"/>
    <s v="Not picking up"/>
  </r>
  <r>
    <s v="LD0421"/>
    <x v="5"/>
    <x v="5"/>
    <n v="9537953816"/>
    <s v="divya.nair14@gmail.com"/>
    <s v="12-Mar-2024"/>
    <x v="0"/>
    <x v="2"/>
    <s v="No"/>
    <m/>
  </r>
  <r>
    <s v="LD0118"/>
    <x v="5"/>
    <x v="2"/>
    <n v="9704611729"/>
    <s v="divya.nair3@gmail.com"/>
    <s v="06-Feb-2024"/>
    <x v="1"/>
    <x v="5"/>
    <s v="No"/>
    <m/>
  </r>
  <r>
    <s v="LD0029"/>
    <x v="9"/>
    <x v="2"/>
    <n v="9017164455"/>
    <m/>
    <s v="10-Feb-2024"/>
    <x v="1"/>
    <x v="6"/>
    <s v="No"/>
    <s v="Call back tomorrow"/>
  </r>
  <r>
    <s v="LD0398"/>
    <x v="5"/>
    <x v="5"/>
    <m/>
    <s v="divya.nair69@gmail.com"/>
    <s v="01-Jan-2024"/>
    <x v="2"/>
    <x v="3"/>
    <s v="Yes"/>
    <s v="Interested"/>
  </r>
  <r>
    <s v="LD0394"/>
    <x v="1"/>
    <x v="4"/>
    <m/>
    <m/>
    <s v="15-Mar-2024"/>
    <x v="0"/>
    <x v="1"/>
    <s v="Yes"/>
    <s v="Follow up pending"/>
  </r>
  <r>
    <s v="LD0432"/>
    <x v="2"/>
    <x v="4"/>
    <m/>
    <m/>
    <s v="04-Mar-2024"/>
    <x v="3"/>
    <x v="7"/>
    <s v="No"/>
    <s v="Follow up pending"/>
  </r>
  <r>
    <s v="LD0167"/>
    <x v="0"/>
    <x v="0"/>
    <n v="9988547281"/>
    <s v="rohit.singh58@gmail.com"/>
    <s v="20-Mar-2024"/>
    <x v="0"/>
    <x v="5"/>
    <s v="No"/>
    <s v="Not picking up"/>
  </r>
  <r>
    <s v="LD0351"/>
    <x v="1"/>
    <x v="1"/>
    <m/>
    <s v="karan.patel16@gmail.com"/>
    <s v="11-Mar-2024"/>
    <x v="1"/>
    <x v="8"/>
    <s v="No"/>
    <s v="Wrong number"/>
  </r>
  <r>
    <s v="LD0113"/>
    <x v="4"/>
    <x v="6"/>
    <n v="9510663436"/>
    <s v="rohit.singh64@gmail.com"/>
    <s v="07-Mar-2024"/>
    <x v="0"/>
    <x v="1"/>
    <s v="Yes"/>
    <s v="Demo done"/>
  </r>
  <r>
    <s v="LD0286"/>
    <x v="6"/>
    <x v="3"/>
    <n v="9318143966"/>
    <m/>
    <s v="29-Mar-2024"/>
    <x v="0"/>
    <x v="1"/>
    <s v="Yes"/>
    <s v="Price issue"/>
  </r>
  <r>
    <s v="LD0046"/>
    <x v="1"/>
    <x v="5"/>
    <n v="9974325122"/>
    <m/>
    <s v="02-Jan-2024"/>
    <x v="0"/>
    <x v="8"/>
    <s v="Yes"/>
    <s v="Call back tomorrow"/>
  </r>
  <r>
    <s v="LD0328"/>
    <x v="7"/>
    <x v="6"/>
    <m/>
    <s v="amit.verma97@gmail.com"/>
    <s v="19-Jan-2024"/>
    <x v="0"/>
    <x v="0"/>
    <s v="No"/>
    <s v="Follow up pending"/>
  </r>
  <r>
    <s v="LD0139"/>
    <x v="5"/>
    <x v="0"/>
    <n v="9705458971"/>
    <s v="divya.nair3@gmail.com"/>
    <s v="19-Jan-2024"/>
    <x v="3"/>
    <x v="8"/>
    <s v="Yes"/>
    <s v="Follow up pending"/>
  </r>
  <r>
    <s v="LD0481"/>
    <x v="9"/>
    <x v="4"/>
    <n v="9531361487"/>
    <s v="rahul.sharma45@gmail.com"/>
    <s v="12-Feb-2024"/>
    <x v="0"/>
    <x v="5"/>
    <s v="Yes"/>
    <s v="Demo done"/>
  </r>
  <r>
    <s v="LD0237"/>
    <x v="9"/>
    <x v="0"/>
    <m/>
    <m/>
    <s v="28-Mar-2024"/>
    <x v="2"/>
    <x v="8"/>
    <s v="Yes"/>
    <s v="Follow up pending"/>
  </r>
  <r>
    <s v="LD0475"/>
    <x v="1"/>
    <x v="2"/>
    <n v="9034910740"/>
    <s v="karan.patel7@gmail.com"/>
    <s v="02-Feb-2024"/>
    <x v="1"/>
    <x v="8"/>
    <s v="Yes"/>
    <s v="Price issue"/>
  </r>
  <r>
    <s v="LD0126"/>
    <x v="11"/>
    <x v="2"/>
    <n v="9307536661"/>
    <s v="amit.verma23@gmail.com"/>
    <s v="13-Mar-2024"/>
    <x v="1"/>
    <x v="8"/>
    <s v="No"/>
    <s v="Demo done"/>
  </r>
  <r>
    <s v="LD0348"/>
    <x v="1"/>
    <x v="1"/>
    <n v="9414978266"/>
    <m/>
    <s v="26-Feb-2024"/>
    <x v="1"/>
    <x v="2"/>
    <s v="No"/>
    <m/>
  </r>
  <r>
    <s v="LD0274"/>
    <x v="4"/>
    <x v="5"/>
    <n v="9061294398"/>
    <m/>
    <s v="10-Mar-2024"/>
    <x v="1"/>
    <x v="2"/>
    <s v="No"/>
    <m/>
  </r>
  <r>
    <s v="LD0088"/>
    <x v="9"/>
    <x v="5"/>
    <m/>
    <s v="rahul.sharma43@gmail.com"/>
    <s v="08-Jan-2024"/>
    <x v="1"/>
    <x v="8"/>
    <s v="Yes"/>
    <s v="Follow up pending"/>
  </r>
  <r>
    <s v="LD0478"/>
    <x v="11"/>
    <x v="4"/>
    <n v="9440793110"/>
    <m/>
    <s v="13-Jan-2024"/>
    <x v="3"/>
    <x v="3"/>
    <m/>
    <s v="Wrong number"/>
  </r>
  <r>
    <s v="LD0312"/>
    <x v="2"/>
    <x v="5"/>
    <m/>
    <m/>
    <s v="19-Jan-2024"/>
    <x v="4"/>
    <x v="1"/>
    <s v="No"/>
    <s v="Wrong number"/>
  </r>
  <r>
    <s v="LD0037"/>
    <x v="8"/>
    <x v="0"/>
    <m/>
    <m/>
    <s v="28-Feb-2024"/>
    <x v="0"/>
    <x v="7"/>
    <s v="Yes"/>
    <s v="Interested"/>
  </r>
  <r>
    <s v="LD0332"/>
    <x v="2"/>
    <x v="0"/>
    <n v="9774025883"/>
    <s v="anjali.gupta66@gmail.com"/>
    <s v="01-Sep-2024"/>
    <x v="4"/>
    <x v="0"/>
    <s v="No"/>
    <s v="Not picking up"/>
  </r>
  <r>
    <s v="LD0350"/>
    <x v="1"/>
    <x v="2"/>
    <m/>
    <s v="karan.patel45@gmail.com"/>
    <s v="15-Mar-2024"/>
    <x v="0"/>
    <x v="7"/>
    <m/>
    <s v="Not picking up"/>
  </r>
  <r>
    <s v="LD0360"/>
    <x v="8"/>
    <x v="6"/>
    <n v="9533126610"/>
    <m/>
    <s v="10-Jan-2024"/>
    <x v="1"/>
    <x v="3"/>
    <s v="No"/>
    <s v="Closed deal"/>
  </r>
  <r>
    <s v="LD0137"/>
    <x v="6"/>
    <x v="4"/>
    <m/>
    <s v="priya.mehta25@gmail.com"/>
    <s v="12-Jan-2024"/>
    <x v="0"/>
    <x v="8"/>
    <s v="Yes"/>
    <s v="Closed deal"/>
  </r>
  <r>
    <s v="LD0344"/>
    <x v="4"/>
    <x v="2"/>
    <n v="9287339785"/>
    <s v="rohit.singh18@gmail.com"/>
    <s v="09-Jan-2024"/>
    <x v="0"/>
    <x v="4"/>
    <s v="Yes"/>
    <s v="Call back tomorrow"/>
  </r>
  <r>
    <s v="LD0108"/>
    <x v="7"/>
    <x v="2"/>
    <n v="9309850344"/>
    <m/>
    <s v="21-Jan-2024"/>
    <x v="0"/>
    <x v="1"/>
    <m/>
    <s v="Wrong number"/>
  </r>
  <r>
    <s v="LD0182"/>
    <x v="1"/>
    <x v="3"/>
    <n v="9974005643"/>
    <m/>
    <s v="27-Jan-2024"/>
    <x v="1"/>
    <x v="4"/>
    <m/>
    <s v="Interested"/>
  </r>
  <r>
    <s v="LD0190"/>
    <x v="5"/>
    <x v="3"/>
    <n v="9187240107"/>
    <s v="divya.nair62@gmail.com"/>
    <s v="02-Aug-2024"/>
    <x v="1"/>
    <x v="3"/>
    <m/>
    <s v="Demo done"/>
  </r>
  <r>
    <s v="LD0084"/>
    <x v="4"/>
    <x v="2"/>
    <n v="9626682171"/>
    <s v="rohit.singh25@gmail.com"/>
    <s v="13-Feb-2024"/>
    <x v="1"/>
    <x v="4"/>
    <s v="Yes"/>
    <s v="Interested"/>
  </r>
  <r>
    <s v="LD0187"/>
    <x v="8"/>
    <x v="5"/>
    <n v="9900301027"/>
    <s v="sneha.joshi78@gmail.com"/>
    <s v="24-Mar-2024"/>
    <x v="2"/>
    <x v="2"/>
    <s v="No"/>
    <s v="Call back tomorrow"/>
  </r>
  <r>
    <s v="LD0428"/>
    <x v="6"/>
    <x v="3"/>
    <n v="9753745843"/>
    <s v="priya.mehta70@gmail.com"/>
    <s v="05-Mar-2024"/>
    <x v="1"/>
    <x v="2"/>
    <s v="No"/>
    <s v="Follow up pending"/>
  </r>
  <r>
    <s v="LD0326"/>
    <x v="1"/>
    <x v="1"/>
    <m/>
    <s v="karan.patel15@gmail.com"/>
    <s v="03-Jan-2024"/>
    <x v="1"/>
    <x v="2"/>
    <s v="Yes"/>
    <s v="Call back tomorrow"/>
  </r>
  <r>
    <s v="LD0233"/>
    <x v="10"/>
    <x v="6"/>
    <m/>
    <m/>
    <s v="09-Feb-2024"/>
    <x v="1"/>
    <x v="0"/>
    <m/>
    <s v="Price issue"/>
  </r>
  <r>
    <s v="LD0143"/>
    <x v="8"/>
    <x v="5"/>
    <n v="9660186487"/>
    <s v="sneha.joshi67@gmail.com"/>
    <s v="02-Mar-2024"/>
    <x v="0"/>
    <x v="1"/>
    <s v="No"/>
    <s v="Interested"/>
  </r>
  <r>
    <s v="LD0195"/>
    <x v="1"/>
    <x v="5"/>
    <n v="9845960945"/>
    <s v="karan.patel99@gmail.com"/>
    <s v="18-Mar-2024"/>
    <x v="0"/>
    <x v="0"/>
    <m/>
    <s v="Price issue"/>
  </r>
  <r>
    <s v="LD0052"/>
    <x v="7"/>
    <x v="6"/>
    <n v="9705783609"/>
    <s v="amit.verma41@gmail.com"/>
    <s v="09-Jan-2024"/>
    <x v="4"/>
    <x v="5"/>
    <s v="Yes"/>
    <s v="Follow up pending"/>
  </r>
  <r>
    <s v="LD0444"/>
    <x v="11"/>
    <x v="1"/>
    <n v="9031028795"/>
    <s v="amit.verma92@gmail.com"/>
    <s v="03-Feb-2024"/>
    <x v="1"/>
    <x v="0"/>
    <s v="Yes"/>
    <s v="Interested"/>
  </r>
  <r>
    <s v="LD0120"/>
    <x v="8"/>
    <x v="5"/>
    <m/>
    <s v="sneha.joshi83@gmail.com"/>
    <s v="24-Feb-2024"/>
    <x v="4"/>
    <x v="7"/>
    <s v="Yes"/>
    <s v="Closed deal"/>
  </r>
  <r>
    <s v="LD0438"/>
    <x v="5"/>
    <x v="0"/>
    <n v="9490250429"/>
    <m/>
    <s v="28-Jan-2024"/>
    <x v="1"/>
    <x v="2"/>
    <m/>
    <s v="Interested"/>
  </r>
  <r>
    <s v="LD0381"/>
    <x v="7"/>
    <x v="4"/>
    <m/>
    <s v="amit.verma78@gmail.com"/>
    <s v="01-Mar-2024"/>
    <x v="1"/>
    <x v="5"/>
    <s v="No"/>
    <s v="Closed deal"/>
  </r>
  <r>
    <s v="LD0149"/>
    <x v="8"/>
    <x v="0"/>
    <n v="9376515881"/>
    <s v="sneha.joshi58@gmail.com"/>
    <s v="23-Feb-2024"/>
    <x v="4"/>
    <x v="1"/>
    <m/>
    <m/>
  </r>
  <r>
    <s v="LD0396"/>
    <x v="7"/>
    <x v="0"/>
    <m/>
    <m/>
    <s v="24-Jan-2024"/>
    <x v="1"/>
    <x v="2"/>
    <s v="Yes"/>
    <s v="Wrong number"/>
  </r>
  <r>
    <s v="LD0117"/>
    <x v="2"/>
    <x v="2"/>
    <n v="9021288665"/>
    <s v="anjali.gupta92@gmail.com"/>
    <s v="07-Feb-2024"/>
    <x v="1"/>
    <x v="0"/>
    <s v="Yes"/>
    <s v="Call back tomorrow"/>
  </r>
  <r>
    <s v="LD0339"/>
    <x v="9"/>
    <x v="0"/>
    <n v="9676472298"/>
    <m/>
    <s v="16-Mar-2024"/>
    <x v="0"/>
    <x v="6"/>
    <s v="No"/>
    <s v="Wrong number"/>
  </r>
  <r>
    <s v="LD0024"/>
    <x v="1"/>
    <x v="6"/>
    <n v="9098898645"/>
    <m/>
    <s v="19-Jan-2024"/>
    <x v="3"/>
    <x v="5"/>
    <s v="Yes"/>
    <s v="Closed deal"/>
  </r>
  <r>
    <s v="LD0036"/>
    <x v="6"/>
    <x v="2"/>
    <n v="9477324491"/>
    <m/>
    <s v="27-Jan-2024"/>
    <x v="1"/>
    <x v="3"/>
    <s v="Yes"/>
    <s v="Wrong number"/>
  </r>
  <r>
    <s v="LD0361"/>
    <x v="8"/>
    <x v="5"/>
    <n v="9534967827"/>
    <s v="sneha.joshi16@gmail.com"/>
    <s v="26-Feb-2024"/>
    <x v="0"/>
    <x v="8"/>
    <s v="Yes"/>
    <s v="Call back tomorrow"/>
  </r>
  <r>
    <s v="LD0099"/>
    <x v="5"/>
    <x v="1"/>
    <n v="9528547815"/>
    <s v="divya.nair67@gmail.com"/>
    <s v="02-Oct-2024"/>
    <x v="1"/>
    <x v="3"/>
    <s v="No"/>
    <s v="Not picking up"/>
  </r>
  <r>
    <s v="LD0296"/>
    <x v="0"/>
    <x v="0"/>
    <m/>
    <s v="rohit.singh56@gmail.com"/>
    <s v="09-Jan-2024"/>
    <x v="3"/>
    <x v="3"/>
    <s v="No"/>
    <s v="Price issue"/>
  </r>
  <r>
    <s v="LD0186"/>
    <x v="4"/>
    <x v="0"/>
    <n v="9824347769"/>
    <s v="rohit.singh29@gmail.com"/>
    <s v="15-Jan-2024"/>
    <x v="0"/>
    <x v="0"/>
    <s v="No"/>
    <m/>
  </r>
  <r>
    <s v="LD0442"/>
    <x v="6"/>
    <x v="0"/>
    <n v="9562779630"/>
    <s v="priya.mehta53@gmail.com"/>
    <s v="08-Jan-2024"/>
    <x v="2"/>
    <x v="2"/>
    <s v="No"/>
    <s v="Follow up pending"/>
  </r>
  <r>
    <s v="LD0454"/>
    <x v="4"/>
    <x v="2"/>
    <n v="9735047639"/>
    <s v="rohit.singh15@gmail.com"/>
    <s v="19-Mar-2024"/>
    <x v="4"/>
    <x v="3"/>
    <s v="No"/>
    <s v="Interested"/>
  </r>
  <r>
    <s v="LD0317"/>
    <x v="4"/>
    <x v="0"/>
    <m/>
    <s v="rohit.singh30@gmail.com"/>
    <s v="02-Jul-2024"/>
    <x v="1"/>
    <x v="1"/>
    <s v="Yes"/>
    <s v="Demo done"/>
  </r>
  <r>
    <s v="LD0322"/>
    <x v="9"/>
    <x v="5"/>
    <n v="9186702440"/>
    <s v="rahul.sharma5@gmail.com"/>
    <s v="04-Feb-2024"/>
    <x v="0"/>
    <x v="8"/>
    <m/>
    <s v="Price issu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788D7-40A0-40B2-A317-DA6B0660CE7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Y18:AE32" firstHeaderRow="1" firstDataRow="2" firstDataCol="1"/>
  <pivotFields count="10">
    <pivotField showAll="0"/>
    <pivotField axis="axisRow" showAll="0">
      <items count="13">
        <item x="3"/>
        <item x="11"/>
        <item x="7"/>
        <item x="2"/>
        <item x="5"/>
        <item x="1"/>
        <item x="6"/>
        <item x="10"/>
        <item x="0"/>
        <item x="9"/>
        <item x="4"/>
        <item x="8"/>
        <item t="default"/>
      </items>
    </pivotField>
    <pivotField showAll="0"/>
    <pivotField showAll="0"/>
    <pivotField showAll="0"/>
    <pivotField showAll="0"/>
    <pivotField axis="axisCol" dataField="1"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1"/>
  </rowFields>
  <rowItems count="13">
    <i>
      <x/>
    </i>
    <i>
      <x v="1"/>
    </i>
    <i>
      <x v="2"/>
    </i>
    <i>
      <x v="3"/>
    </i>
    <i>
      <x v="4"/>
    </i>
    <i>
      <x v="5"/>
    </i>
    <i>
      <x v="6"/>
    </i>
    <i>
      <x v="7"/>
    </i>
    <i>
      <x v="8"/>
    </i>
    <i>
      <x v="9"/>
    </i>
    <i>
      <x v="10"/>
    </i>
    <i>
      <x v="11"/>
    </i>
    <i t="grand">
      <x/>
    </i>
  </rowItems>
  <colFields count="1">
    <field x="6"/>
  </colFields>
  <colItems count="6">
    <i>
      <x/>
    </i>
    <i>
      <x v="1"/>
    </i>
    <i>
      <x v="2"/>
    </i>
    <i>
      <x v="3"/>
    </i>
    <i>
      <x v="4"/>
    </i>
    <i t="grand">
      <x/>
    </i>
  </colItems>
  <dataFields count="1">
    <dataField name="Count of Statu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F87A7D-152C-4B09-B0D3-6D55A408A4D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C5:AD11" firstHeaderRow="1" firstDataRow="1" firstDataCol="1"/>
  <pivotFields count="10">
    <pivotField showAll="0"/>
    <pivotField showAll="0"/>
    <pivotField showAll="0"/>
    <pivotField showAll="0"/>
    <pivotField showAll="0"/>
    <pivotField showAll="0"/>
    <pivotField axis="axisRow" dataField="1"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6"/>
  </rowFields>
  <rowItems count="6">
    <i>
      <x/>
    </i>
    <i>
      <x v="1"/>
    </i>
    <i>
      <x v="2"/>
    </i>
    <i>
      <x v="3"/>
    </i>
    <i>
      <x v="4"/>
    </i>
    <i t="grand">
      <x/>
    </i>
  </rowItems>
  <colItems count="1">
    <i/>
  </colItems>
  <dataFields count="1">
    <dataField name="Count of Status" fld="6"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D65842-9FA9-40F1-AAF3-FCF35EBE950A}"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Y5:Z13" firstHeaderRow="1" firstDataRow="1" firstDataCol="1"/>
  <pivotFields count="10">
    <pivotField showAll="0"/>
    <pivotField showAll="0"/>
    <pivotField axis="axisRow" dataField="1" showAll="0">
      <items count="8">
        <item x="2"/>
        <item x="3"/>
        <item x="1"/>
        <item x="6"/>
        <item x="0"/>
        <item x="4"/>
        <item x="5"/>
        <item t="default"/>
      </items>
    </pivotField>
    <pivotField showAll="0"/>
    <pivotField showAll="0"/>
    <pivotField showAll="0"/>
    <pivotField showAll="0">
      <items count="6">
        <item x="3"/>
        <item x="0"/>
        <item x="4"/>
        <item x="2"/>
        <item x="1"/>
        <item t="default"/>
      </items>
    </pivotField>
    <pivotField showAll="0">
      <items count="10">
        <item x="8"/>
        <item x="7"/>
        <item x="0"/>
        <item x="4"/>
        <item x="5"/>
        <item x="2"/>
        <item x="6"/>
        <item x="3"/>
        <item x="1"/>
        <item t="default"/>
      </items>
    </pivotField>
    <pivotField showAll="0"/>
    <pivotField showAll="0"/>
  </pivotFields>
  <rowFields count="1">
    <field x="2"/>
  </rowFields>
  <rowItems count="8">
    <i>
      <x/>
    </i>
    <i>
      <x v="1"/>
    </i>
    <i>
      <x v="2"/>
    </i>
    <i>
      <x v="3"/>
    </i>
    <i>
      <x v="4"/>
    </i>
    <i>
      <x v="5"/>
    </i>
    <i>
      <x v="6"/>
    </i>
    <i t="grand">
      <x/>
    </i>
  </rowItems>
  <colItems count="1">
    <i/>
  </colItems>
  <dataFields count="1">
    <dataField name="Count of Lead Sourc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2D481F-4888-46B5-972C-75DBB87DFC26}"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H5:AI15" firstHeaderRow="1" firstDataRow="1" firstDataCol="1"/>
  <pivotFields count="10">
    <pivotField showAll="0"/>
    <pivotField showAll="0"/>
    <pivotField dataField="1" showAll="0"/>
    <pivotField showAll="0"/>
    <pivotField showAll="0"/>
    <pivotField showAll="0"/>
    <pivotField showAll="0">
      <items count="6">
        <item x="3"/>
        <item x="0"/>
        <item x="4"/>
        <item x="2"/>
        <item x="1"/>
        <item t="default"/>
      </items>
    </pivotField>
    <pivotField axis="axisRow" showAll="0" sortType="ascending">
      <items count="10">
        <item x="8"/>
        <item x="7"/>
        <item x="0"/>
        <item x="4"/>
        <item x="5"/>
        <item x="2"/>
        <item x="6"/>
        <item x="3"/>
        <item x="1"/>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10">
    <i>
      <x v="1"/>
    </i>
    <i>
      <x v="2"/>
    </i>
    <i>
      <x v="7"/>
    </i>
    <i>
      <x v="6"/>
    </i>
    <i>
      <x/>
    </i>
    <i>
      <x v="4"/>
    </i>
    <i>
      <x v="8"/>
    </i>
    <i>
      <x v="3"/>
    </i>
    <i>
      <x v="5"/>
    </i>
    <i t="grand">
      <x/>
    </i>
  </rowItems>
  <colItems count="1">
    <i/>
  </colItems>
  <dataFields count="1">
    <dataField name="Count of Lead Source"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0B61D08-ABD8-4045-9401-657E2FA74DAB}" sourceName="Status">
  <pivotTables>
    <pivotTable tabId="14" name="PivotTable2"/>
    <pivotTable tabId="14" name="PivotTable4"/>
    <pivotTable tabId="14" name="PivotTable1"/>
    <pivotTable tabId="14" name="PivotTable3"/>
  </pivotTables>
  <data>
    <tabular pivotCacheId="1110092839">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9497A495-C122-4191-900E-12282F798FE2}" sourceName="City">
  <pivotTables>
    <pivotTable tabId="14" name="PivotTable2"/>
    <pivotTable tabId="14" name="PivotTable1"/>
    <pivotTable tabId="14" name="PivotTable3"/>
    <pivotTable tabId="14" name="PivotTable4"/>
  </pivotTables>
  <data>
    <tabular pivotCacheId="1110092839">
      <items count="9">
        <i x="8" s="1"/>
        <i x="7" s="1"/>
        <i x="0" s="1"/>
        <i x="4" s="1"/>
        <i x="5" s="1"/>
        <i x="2" s="1"/>
        <i x="6"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75B4556-DB91-4886-99C0-FA1405F73037}" cache="Slicer_Status" caption="Status" rowHeight="234950"/>
  <slicer name="City" xr10:uid="{65E36167-7D85-4FE6-8D9D-D5110D752B65}" cache="Slicer_City" caption="Cit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C87595D-82F3-446B-89E4-6167E343AA19}" name="Table1" displayName="Table1" ref="A1:J501" totalsRowShown="0" headerRowDxfId="5" headerRowBorderDxfId="4" tableBorderDxfId="3" totalsRowBorderDxfId="2" headerRowCellStyle="Normal 2">
  <autoFilter ref="A1:J501" xr:uid="{5C87595D-82F3-446B-89E4-6167E343AA19}"/>
  <tableColumns count="10">
    <tableColumn id="1" xr3:uid="{C149B129-AE4D-4DD0-9641-07FBD4EF87BF}" name="Lead ID"/>
    <tableColumn id="2" xr3:uid="{D57167CE-B9F1-418A-BB76-6EF7B7D706F5}" name="Agent Name"/>
    <tableColumn id="3" xr3:uid="{7BA7FB96-DB65-4C8A-9A25-A8B41149054F}" name="Lead Source"/>
    <tableColumn id="4" xr3:uid="{D87AA976-B442-495C-9B6E-47BB706054D2}" name="Phone Number"/>
    <tableColumn id="5" xr3:uid="{48408B5D-907C-4098-B88B-B0DE9A939C87}" name="Email"/>
    <tableColumn id="6" xr3:uid="{19C4F1A2-FDBC-4D39-BC2C-D2BFEA358B52}" name="Lead Date" dataDxfId="1"/>
    <tableColumn id="7" xr3:uid="{56DF7A39-C11C-437F-A0C4-26D6F908230B}" name="Status"/>
    <tableColumn id="8" xr3:uid="{EC0B42EF-22F9-4263-9D97-6A3F3FDD463C}" name="City"/>
    <tableColumn id="9" xr3:uid="{AF14FE2D-0051-4A82-A5FB-0EEEB0A87D7A}" name="Follow-up Done"/>
    <tableColumn id="10" xr3:uid="{1EA4ADA5-CD86-41FE-9F0C-1D6293C51E50}" name="Remark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2E4E1A-C7AE-43FF-B96C-7B886380F7C6}" name="Table2" displayName="Table2" ref="AH19:AJ22" totalsRowShown="0" headerRowCellStyle="Normal 2" dataCellStyle="Normal 2">
  <autoFilter ref="AH19:AJ22" xr:uid="{062E4E1A-C7AE-43FF-B96C-7B886380F7C6}"/>
  <tableColumns count="3">
    <tableColumn id="1" xr3:uid="{38C2CC1D-07F2-41FE-8FE8-31E8F9ABDF3F}" name="Month" dataCellStyle="Normal 2"/>
    <tableColumn id="2" xr3:uid="{EBE06C8F-7A10-459C-90EB-01BD8871C6C1}" name="Total" dataCellStyle="Normal 2"/>
    <tableColumn id="3" xr3:uid="{D8D1949D-26F5-4810-BFD1-C4285D9BF486}" name="Converted" dataCellStyle="Normal 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xml"/><Relationship Id="rId3" Type="http://schemas.openxmlformats.org/officeDocument/2006/relationships/pivotTable" Target="../pivotTables/pivotTable3.xml"/><Relationship Id="rId7" Type="http://schemas.openxmlformats.org/officeDocument/2006/relationships/vmlDrawing" Target="../drawings/vmlDrawing1.v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11" Type="http://schemas.microsoft.com/office/2007/relationships/slicer" Target="../slicers/slicer1.xml"/><Relationship Id="rId5" Type="http://schemas.openxmlformats.org/officeDocument/2006/relationships/printerSettings" Target="../printerSettings/printerSettings2.bin"/><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501"/>
  <sheetViews>
    <sheetView showGridLines="0" workbookViewId="0">
      <pane ySplit="1" topLeftCell="A411" activePane="bottomLeft" state="frozen"/>
      <selection pane="bottomLeft" activeCell="H490" sqref="H490"/>
    </sheetView>
  </sheetViews>
  <sheetFormatPr defaultColWidth="8.88671875" defaultRowHeight="14.4" x14ac:dyDescent="0.3"/>
  <cols>
    <col min="1" max="1" width="12" customWidth="1"/>
    <col min="2" max="2" width="22" customWidth="1"/>
    <col min="3" max="4" width="18" customWidth="1"/>
    <col min="5" max="5" width="28" customWidth="1"/>
    <col min="6" max="8" width="14" customWidth="1"/>
    <col min="9" max="9" width="16" customWidth="1"/>
    <col min="10" max="10" width="30" customWidth="1"/>
  </cols>
  <sheetData>
    <row r="1" spans="1:10" ht="27.9" customHeight="1" x14ac:dyDescent="0.3">
      <c r="A1" s="5" t="s">
        <v>0</v>
      </c>
      <c r="B1" s="5" t="s">
        <v>1</v>
      </c>
      <c r="C1" s="5" t="s">
        <v>2</v>
      </c>
      <c r="D1" s="5" t="s">
        <v>3</v>
      </c>
      <c r="E1" s="5" t="s">
        <v>4</v>
      </c>
      <c r="F1" s="5" t="s">
        <v>5</v>
      </c>
      <c r="G1" s="5" t="s">
        <v>6</v>
      </c>
      <c r="H1" s="5" t="s">
        <v>7</v>
      </c>
      <c r="I1" s="5" t="s">
        <v>8</v>
      </c>
      <c r="J1" s="5" t="s">
        <v>9</v>
      </c>
    </row>
    <row r="2" spans="1:10" ht="15.9" customHeight="1" x14ac:dyDescent="0.3">
      <c r="A2" s="1" t="s">
        <v>10</v>
      </c>
      <c r="B2" s="2" t="s">
        <v>11</v>
      </c>
      <c r="C2" s="2" t="s">
        <v>12</v>
      </c>
      <c r="D2" s="2" t="s">
        <v>13</v>
      </c>
      <c r="E2" s="2" t="s">
        <v>14</v>
      </c>
      <c r="F2" s="1" t="s">
        <v>15</v>
      </c>
      <c r="G2" s="1" t="s">
        <v>16</v>
      </c>
      <c r="H2" s="2" t="s">
        <v>17</v>
      </c>
      <c r="I2" s="1" t="s">
        <v>18</v>
      </c>
      <c r="J2" s="2" t="s">
        <v>19</v>
      </c>
    </row>
    <row r="3" spans="1:10" ht="15.9" customHeight="1" x14ac:dyDescent="0.3">
      <c r="A3" s="3" t="s">
        <v>20</v>
      </c>
      <c r="B3" s="4" t="s">
        <v>21</v>
      </c>
      <c r="C3" s="4" t="s">
        <v>22</v>
      </c>
      <c r="D3" s="4"/>
      <c r="E3" s="4" t="s">
        <v>23</v>
      </c>
      <c r="F3" s="3" t="s">
        <v>24</v>
      </c>
      <c r="G3" s="3" t="s">
        <v>16</v>
      </c>
      <c r="H3" s="4" t="s">
        <v>25</v>
      </c>
      <c r="I3" s="3" t="s">
        <v>26</v>
      </c>
      <c r="J3" s="4" t="s">
        <v>27</v>
      </c>
    </row>
    <row r="4" spans="1:10" ht="15.9" customHeight="1" x14ac:dyDescent="0.3">
      <c r="A4" s="1" t="s">
        <v>28</v>
      </c>
      <c r="B4" s="2" t="s">
        <v>29</v>
      </c>
      <c r="C4" s="2"/>
      <c r="D4" s="2" t="s">
        <v>30</v>
      </c>
      <c r="E4" s="2" t="s">
        <v>31</v>
      </c>
      <c r="F4" s="1" t="s">
        <v>32</v>
      </c>
      <c r="G4" s="1" t="s">
        <v>33</v>
      </c>
      <c r="H4" s="2" t="s">
        <v>25</v>
      </c>
      <c r="I4" s="1"/>
      <c r="J4" s="2" t="s">
        <v>34</v>
      </c>
    </row>
    <row r="5" spans="1:10" ht="15.9" customHeight="1" x14ac:dyDescent="0.3">
      <c r="A5" s="3" t="s">
        <v>35</v>
      </c>
      <c r="B5" s="4" t="s">
        <v>36</v>
      </c>
      <c r="C5" s="4" t="s">
        <v>37</v>
      </c>
      <c r="D5" s="4" t="s">
        <v>38</v>
      </c>
      <c r="E5" s="4" t="s">
        <v>39</v>
      </c>
      <c r="F5" s="3" t="s">
        <v>40</v>
      </c>
      <c r="G5" s="3" t="s">
        <v>41</v>
      </c>
      <c r="H5" s="4" t="s">
        <v>42</v>
      </c>
      <c r="I5" s="3" t="s">
        <v>18</v>
      </c>
      <c r="J5" s="4" t="s">
        <v>19</v>
      </c>
    </row>
    <row r="6" spans="1:10" ht="15.9" customHeight="1" x14ac:dyDescent="0.3">
      <c r="A6" s="1" t="s">
        <v>43</v>
      </c>
      <c r="B6" s="2" t="s">
        <v>44</v>
      </c>
      <c r="C6" s="2" t="s">
        <v>45</v>
      </c>
      <c r="D6" s="2"/>
      <c r="E6" s="2" t="s">
        <v>46</v>
      </c>
      <c r="F6" s="1" t="s">
        <v>47</v>
      </c>
      <c r="G6" s="1" t="s">
        <v>48</v>
      </c>
      <c r="H6" s="2" t="s">
        <v>49</v>
      </c>
      <c r="I6" s="1" t="s">
        <v>50</v>
      </c>
      <c r="J6" s="2" t="s">
        <v>51</v>
      </c>
    </row>
    <row r="7" spans="1:10" ht="15.9" customHeight="1" x14ac:dyDescent="0.3">
      <c r="A7" s="3" t="s">
        <v>52</v>
      </c>
      <c r="B7" s="4" t="s">
        <v>11</v>
      </c>
      <c r="C7" s="4" t="s">
        <v>22</v>
      </c>
      <c r="D7" s="4" t="s">
        <v>30</v>
      </c>
      <c r="E7" s="4"/>
      <c r="F7" s="3" t="s">
        <v>53</v>
      </c>
      <c r="G7" s="3" t="s">
        <v>54</v>
      </c>
      <c r="H7" s="4" t="s">
        <v>17</v>
      </c>
      <c r="I7" s="3"/>
      <c r="J7" s="4"/>
    </row>
    <row r="8" spans="1:10" ht="15.9" customHeight="1" x14ac:dyDescent="0.3">
      <c r="A8" s="1" t="s">
        <v>55</v>
      </c>
      <c r="B8" s="2" t="s">
        <v>56</v>
      </c>
      <c r="C8" s="2" t="s">
        <v>37</v>
      </c>
      <c r="D8" s="2" t="s">
        <v>57</v>
      </c>
      <c r="E8" s="2" t="s">
        <v>58</v>
      </c>
      <c r="F8" s="1" t="s">
        <v>59</v>
      </c>
      <c r="G8" s="1" t="s">
        <v>16</v>
      </c>
      <c r="H8" s="2" t="s">
        <v>25</v>
      </c>
      <c r="I8" s="1" t="s">
        <v>50</v>
      </c>
      <c r="J8" s="2" t="s">
        <v>34</v>
      </c>
    </row>
    <row r="9" spans="1:10" ht="15.9" customHeight="1" x14ac:dyDescent="0.3">
      <c r="A9" s="3" t="s">
        <v>60</v>
      </c>
      <c r="B9" s="4" t="s">
        <v>61</v>
      </c>
      <c r="C9" s="4" t="s">
        <v>62</v>
      </c>
      <c r="D9" s="4"/>
      <c r="E9" s="4" t="s">
        <v>63</v>
      </c>
      <c r="F9" s="3" t="s">
        <v>64</v>
      </c>
      <c r="G9" s="3" t="s">
        <v>48</v>
      </c>
      <c r="H9" s="4" t="s">
        <v>65</v>
      </c>
      <c r="I9" s="3"/>
      <c r="J9" s="4" t="s">
        <v>66</v>
      </c>
    </row>
    <row r="10" spans="1:10" ht="15.9" customHeight="1" x14ac:dyDescent="0.3">
      <c r="A10" s="1" t="s">
        <v>67</v>
      </c>
      <c r="B10" s="2" t="s">
        <v>68</v>
      </c>
      <c r="C10" s="2" t="s">
        <v>37</v>
      </c>
      <c r="D10" s="2" t="s">
        <v>69</v>
      </c>
      <c r="E10" s="2" t="s">
        <v>70</v>
      </c>
      <c r="F10" s="1" t="s">
        <v>71</v>
      </c>
      <c r="G10" s="1" t="s">
        <v>33</v>
      </c>
      <c r="H10" s="2" t="s">
        <v>72</v>
      </c>
      <c r="I10" s="1" t="s">
        <v>73</v>
      </c>
      <c r="J10" s="2" t="s">
        <v>19</v>
      </c>
    </row>
    <row r="11" spans="1:10" ht="15.9" customHeight="1" x14ac:dyDescent="0.3">
      <c r="A11" s="3" t="s">
        <v>74</v>
      </c>
      <c r="B11" s="4" t="s">
        <v>75</v>
      </c>
      <c r="C11" s="4" t="s">
        <v>22</v>
      </c>
      <c r="D11" s="4" t="s">
        <v>76</v>
      </c>
      <c r="E11" s="4" t="s">
        <v>77</v>
      </c>
      <c r="F11" s="3" t="s">
        <v>78</v>
      </c>
      <c r="G11" s="3" t="s">
        <v>79</v>
      </c>
      <c r="H11" s="4" t="s">
        <v>25</v>
      </c>
      <c r="I11" s="3" t="s">
        <v>18</v>
      </c>
      <c r="J11" s="4" t="s">
        <v>19</v>
      </c>
    </row>
    <row r="12" spans="1:10" ht="15.9" customHeight="1" x14ac:dyDescent="0.3">
      <c r="A12" s="1" t="s">
        <v>80</v>
      </c>
      <c r="B12" s="2" t="s">
        <v>44</v>
      </c>
      <c r="C12" s="2" t="s">
        <v>22</v>
      </c>
      <c r="D12" s="2"/>
      <c r="E12" s="2" t="s">
        <v>81</v>
      </c>
      <c r="F12" s="1" t="s">
        <v>82</v>
      </c>
      <c r="G12" s="1" t="s">
        <v>41</v>
      </c>
      <c r="H12" s="2" t="s">
        <v>83</v>
      </c>
      <c r="I12" s="1" t="s">
        <v>73</v>
      </c>
      <c r="J12" s="2" t="s">
        <v>34</v>
      </c>
    </row>
    <row r="13" spans="1:10" ht="15.9" customHeight="1" x14ac:dyDescent="0.3">
      <c r="A13" s="3" t="s">
        <v>84</v>
      </c>
      <c r="B13" s="4" t="s">
        <v>21</v>
      </c>
      <c r="C13" s="4" t="s">
        <v>22</v>
      </c>
      <c r="D13" s="4" t="s">
        <v>85</v>
      </c>
      <c r="E13" s="4"/>
      <c r="F13" s="3" t="s">
        <v>86</v>
      </c>
      <c r="G13" s="3" t="s">
        <v>54</v>
      </c>
      <c r="H13" s="4" t="s">
        <v>72</v>
      </c>
      <c r="I13" s="3" t="s">
        <v>18</v>
      </c>
      <c r="J13" s="4" t="s">
        <v>27</v>
      </c>
    </row>
    <row r="14" spans="1:10" ht="15.9" customHeight="1" x14ac:dyDescent="0.3">
      <c r="A14" s="1" t="s">
        <v>87</v>
      </c>
      <c r="B14" s="2" t="s">
        <v>88</v>
      </c>
      <c r="C14" s="2"/>
      <c r="D14" s="2" t="s">
        <v>89</v>
      </c>
      <c r="E14" s="2"/>
      <c r="F14" s="1" t="s">
        <v>90</v>
      </c>
      <c r="G14" s="1" t="s">
        <v>33</v>
      </c>
      <c r="H14" s="2" t="s">
        <v>65</v>
      </c>
      <c r="I14" s="1" t="s">
        <v>50</v>
      </c>
      <c r="J14" s="2" t="s">
        <v>91</v>
      </c>
    </row>
    <row r="15" spans="1:10" ht="15.9" customHeight="1" x14ac:dyDescent="0.3">
      <c r="A15" s="3" t="s">
        <v>92</v>
      </c>
      <c r="B15" s="4" t="s">
        <v>93</v>
      </c>
      <c r="C15" s="4" t="s">
        <v>37</v>
      </c>
      <c r="D15" s="4" t="s">
        <v>94</v>
      </c>
      <c r="E15" s="4" t="s">
        <v>95</v>
      </c>
      <c r="F15" s="3" t="s">
        <v>96</v>
      </c>
      <c r="G15" s="3" t="s">
        <v>33</v>
      </c>
      <c r="H15" s="4" t="s">
        <v>42</v>
      </c>
      <c r="I15" s="3" t="s">
        <v>73</v>
      </c>
      <c r="J15" s="4" t="s">
        <v>66</v>
      </c>
    </row>
    <row r="16" spans="1:10" ht="15.9" customHeight="1" x14ac:dyDescent="0.3">
      <c r="A16" s="1" t="s">
        <v>97</v>
      </c>
      <c r="B16" s="2" t="s">
        <v>98</v>
      </c>
      <c r="C16" s="2" t="s">
        <v>12</v>
      </c>
      <c r="D16" s="2"/>
      <c r="E16" s="2" t="s">
        <v>99</v>
      </c>
      <c r="F16" s="1" t="s">
        <v>100</v>
      </c>
      <c r="G16" s="1" t="s">
        <v>33</v>
      </c>
      <c r="H16" s="2"/>
      <c r="I16" s="1" t="s">
        <v>26</v>
      </c>
      <c r="J16" s="2" t="s">
        <v>34</v>
      </c>
    </row>
    <row r="17" spans="1:10" ht="15.9" customHeight="1" x14ac:dyDescent="0.3">
      <c r="A17" s="3" t="s">
        <v>101</v>
      </c>
      <c r="B17" s="4" t="s">
        <v>102</v>
      </c>
      <c r="C17" s="4"/>
      <c r="D17" s="4" t="s">
        <v>103</v>
      </c>
      <c r="E17" s="4" t="s">
        <v>104</v>
      </c>
      <c r="F17" s="3" t="s">
        <v>105</v>
      </c>
      <c r="G17" s="3" t="s">
        <v>48</v>
      </c>
      <c r="H17" s="4" t="s">
        <v>83</v>
      </c>
      <c r="I17" s="3" t="s">
        <v>50</v>
      </c>
      <c r="J17" s="4" t="s">
        <v>106</v>
      </c>
    </row>
    <row r="18" spans="1:10" ht="15.9" customHeight="1" x14ac:dyDescent="0.3">
      <c r="A18" s="1" t="s">
        <v>107</v>
      </c>
      <c r="B18" s="2" t="s">
        <v>108</v>
      </c>
      <c r="C18" s="2" t="s">
        <v>45</v>
      </c>
      <c r="D18" s="2" t="s">
        <v>30</v>
      </c>
      <c r="E18" s="2" t="s">
        <v>109</v>
      </c>
      <c r="F18" s="1" t="s">
        <v>110</v>
      </c>
      <c r="G18" s="1" t="s">
        <v>111</v>
      </c>
      <c r="H18" s="2" t="s">
        <v>42</v>
      </c>
      <c r="I18" s="1" t="s">
        <v>112</v>
      </c>
      <c r="J18" s="2" t="s">
        <v>91</v>
      </c>
    </row>
    <row r="19" spans="1:10" ht="15.9" customHeight="1" x14ac:dyDescent="0.3">
      <c r="A19" s="3" t="s">
        <v>113</v>
      </c>
      <c r="B19" s="4" t="s">
        <v>114</v>
      </c>
      <c r="C19" s="4" t="s">
        <v>12</v>
      </c>
      <c r="D19" s="4" t="s">
        <v>115</v>
      </c>
      <c r="E19" s="4" t="s">
        <v>30</v>
      </c>
      <c r="F19" s="3" t="s">
        <v>116</v>
      </c>
      <c r="G19" s="3" t="s">
        <v>16</v>
      </c>
      <c r="H19" s="4" t="s">
        <v>42</v>
      </c>
      <c r="I19" s="3"/>
      <c r="J19" s="4" t="s">
        <v>27</v>
      </c>
    </row>
    <row r="20" spans="1:10" ht="15.9" customHeight="1" x14ac:dyDescent="0.3">
      <c r="A20" s="1" t="s">
        <v>117</v>
      </c>
      <c r="B20" s="2" t="s">
        <v>118</v>
      </c>
      <c r="C20" s="2" t="s">
        <v>119</v>
      </c>
      <c r="D20" s="2" t="s">
        <v>120</v>
      </c>
      <c r="E20" s="2" t="s">
        <v>121</v>
      </c>
      <c r="F20" s="1" t="s">
        <v>105</v>
      </c>
      <c r="G20" s="1" t="s">
        <v>16</v>
      </c>
      <c r="H20" s="2"/>
      <c r="I20" s="1" t="s">
        <v>112</v>
      </c>
      <c r="J20" s="2" t="s">
        <v>19</v>
      </c>
    </row>
    <row r="21" spans="1:10" ht="15.9" customHeight="1" x14ac:dyDescent="0.3">
      <c r="A21" s="3" t="s">
        <v>122</v>
      </c>
      <c r="B21" s="4" t="s">
        <v>88</v>
      </c>
      <c r="C21" s="4" t="s">
        <v>45</v>
      </c>
      <c r="D21" s="4"/>
      <c r="E21" s="4" t="s">
        <v>123</v>
      </c>
      <c r="F21" s="3" t="s">
        <v>124</v>
      </c>
      <c r="G21" s="3" t="s">
        <v>111</v>
      </c>
      <c r="H21" s="4" t="s">
        <v>125</v>
      </c>
      <c r="I21" s="3"/>
      <c r="J21" s="4" t="s">
        <v>106</v>
      </c>
    </row>
    <row r="22" spans="1:10" ht="15.9" customHeight="1" x14ac:dyDescent="0.3">
      <c r="A22" s="1" t="s">
        <v>126</v>
      </c>
      <c r="B22" s="2" t="s">
        <v>56</v>
      </c>
      <c r="C22" s="2"/>
      <c r="D22" s="2" t="s">
        <v>127</v>
      </c>
      <c r="E22" s="2" t="s">
        <v>128</v>
      </c>
      <c r="F22" s="1" t="s">
        <v>129</v>
      </c>
      <c r="G22" s="1" t="s">
        <v>33</v>
      </c>
      <c r="H22" s="2" t="s">
        <v>25</v>
      </c>
      <c r="I22" s="1" t="s">
        <v>112</v>
      </c>
      <c r="J22" s="2" t="s">
        <v>19</v>
      </c>
    </row>
    <row r="23" spans="1:10" ht="15.9" customHeight="1" x14ac:dyDescent="0.3">
      <c r="A23" s="3" t="s">
        <v>130</v>
      </c>
      <c r="B23" s="4" t="s">
        <v>11</v>
      </c>
      <c r="C23" s="4" t="s">
        <v>119</v>
      </c>
      <c r="D23" s="4" t="s">
        <v>131</v>
      </c>
      <c r="E23" s="4"/>
      <c r="F23" s="3" t="s">
        <v>132</v>
      </c>
      <c r="G23" s="3" t="s">
        <v>33</v>
      </c>
      <c r="H23" s="4"/>
      <c r="I23" s="3" t="s">
        <v>26</v>
      </c>
      <c r="J23" s="4"/>
    </row>
    <row r="24" spans="1:10" ht="15.9" customHeight="1" x14ac:dyDescent="0.3">
      <c r="A24" s="1" t="s">
        <v>133</v>
      </c>
      <c r="B24" s="2" t="s">
        <v>134</v>
      </c>
      <c r="C24" s="2" t="s">
        <v>12</v>
      </c>
      <c r="D24" s="2" t="s">
        <v>135</v>
      </c>
      <c r="E24" s="2" t="s">
        <v>136</v>
      </c>
      <c r="F24" s="1" t="s">
        <v>137</v>
      </c>
      <c r="G24" s="1" t="s">
        <v>16</v>
      </c>
      <c r="H24" s="2" t="s">
        <v>65</v>
      </c>
      <c r="I24" s="1"/>
      <c r="J24" s="2" t="s">
        <v>106</v>
      </c>
    </row>
    <row r="25" spans="1:10" ht="15.9" customHeight="1" x14ac:dyDescent="0.3">
      <c r="A25" s="3" t="s">
        <v>138</v>
      </c>
      <c r="B25" s="4" t="s">
        <v>36</v>
      </c>
      <c r="C25" s="4" t="s">
        <v>37</v>
      </c>
      <c r="D25" s="4" t="s">
        <v>139</v>
      </c>
      <c r="E25" s="4" t="s">
        <v>140</v>
      </c>
      <c r="F25" s="3" t="s">
        <v>141</v>
      </c>
      <c r="G25" s="3" t="s">
        <v>142</v>
      </c>
      <c r="H25" s="4" t="s">
        <v>25</v>
      </c>
      <c r="I25" s="3" t="s">
        <v>50</v>
      </c>
      <c r="J25" s="4" t="s">
        <v>143</v>
      </c>
    </row>
    <row r="26" spans="1:10" ht="15.9" customHeight="1" x14ac:dyDescent="0.3">
      <c r="A26" s="1" t="s">
        <v>144</v>
      </c>
      <c r="B26" s="2" t="s">
        <v>102</v>
      </c>
      <c r="C26" s="2" t="s">
        <v>119</v>
      </c>
      <c r="D26" s="2" t="s">
        <v>145</v>
      </c>
      <c r="E26" s="2" t="s">
        <v>146</v>
      </c>
      <c r="F26" s="1" t="s">
        <v>147</v>
      </c>
      <c r="G26" s="1" t="s">
        <v>54</v>
      </c>
      <c r="H26" s="2" t="s">
        <v>83</v>
      </c>
      <c r="I26" s="1" t="s">
        <v>18</v>
      </c>
      <c r="J26" s="2" t="s">
        <v>19</v>
      </c>
    </row>
    <row r="27" spans="1:10" ht="15.9" customHeight="1" x14ac:dyDescent="0.3">
      <c r="A27" s="3" t="s">
        <v>148</v>
      </c>
      <c r="B27" s="4" t="s">
        <v>149</v>
      </c>
      <c r="C27" s="4" t="s">
        <v>12</v>
      </c>
      <c r="D27" s="4" t="s">
        <v>30</v>
      </c>
      <c r="E27" s="4" t="s">
        <v>150</v>
      </c>
      <c r="F27" s="3" t="s">
        <v>151</v>
      </c>
      <c r="G27" s="3" t="s">
        <v>48</v>
      </c>
      <c r="H27" s="4" t="s">
        <v>125</v>
      </c>
      <c r="I27" s="3" t="s">
        <v>112</v>
      </c>
      <c r="J27" s="4" t="s">
        <v>106</v>
      </c>
    </row>
    <row r="28" spans="1:10" ht="15.9" customHeight="1" x14ac:dyDescent="0.3">
      <c r="A28" s="1" t="s">
        <v>152</v>
      </c>
      <c r="B28" s="2" t="s">
        <v>153</v>
      </c>
      <c r="C28" s="2" t="s">
        <v>37</v>
      </c>
      <c r="D28" s="2" t="s">
        <v>30</v>
      </c>
      <c r="E28" s="2" t="s">
        <v>154</v>
      </c>
      <c r="F28" s="1" t="s">
        <v>155</v>
      </c>
      <c r="G28" s="1" t="s">
        <v>111</v>
      </c>
      <c r="H28" s="2" t="s">
        <v>83</v>
      </c>
      <c r="I28" s="1"/>
      <c r="J28" s="2" t="s">
        <v>34</v>
      </c>
    </row>
    <row r="29" spans="1:10" ht="15.9" customHeight="1" x14ac:dyDescent="0.3">
      <c r="A29" s="3" t="s">
        <v>156</v>
      </c>
      <c r="B29" s="4" t="s">
        <v>157</v>
      </c>
      <c r="C29" s="4" t="s">
        <v>37</v>
      </c>
      <c r="D29" s="4" t="s">
        <v>158</v>
      </c>
      <c r="E29" s="4" t="s">
        <v>159</v>
      </c>
      <c r="F29" s="3" t="s">
        <v>160</v>
      </c>
      <c r="G29" s="3" t="s">
        <v>41</v>
      </c>
      <c r="H29" s="4" t="s">
        <v>25</v>
      </c>
      <c r="I29" s="3" t="s">
        <v>50</v>
      </c>
      <c r="J29" s="4" t="s">
        <v>66</v>
      </c>
    </row>
    <row r="30" spans="1:10" ht="15.9" customHeight="1" x14ac:dyDescent="0.3">
      <c r="A30" s="1" t="s">
        <v>161</v>
      </c>
      <c r="B30" s="2" t="s">
        <v>61</v>
      </c>
      <c r="C30" s="2" t="s">
        <v>62</v>
      </c>
      <c r="D30" s="2" t="s">
        <v>162</v>
      </c>
      <c r="E30" s="2" t="s">
        <v>163</v>
      </c>
      <c r="F30" s="1" t="s">
        <v>147</v>
      </c>
      <c r="G30" s="1" t="s">
        <v>142</v>
      </c>
      <c r="H30" s="2" t="s">
        <v>125</v>
      </c>
      <c r="I30" s="1" t="s">
        <v>50</v>
      </c>
      <c r="J30" s="2" t="s">
        <v>106</v>
      </c>
    </row>
    <row r="31" spans="1:10" ht="15.9" customHeight="1" x14ac:dyDescent="0.3">
      <c r="A31" s="3" t="s">
        <v>164</v>
      </c>
      <c r="B31" s="4" t="s">
        <v>165</v>
      </c>
      <c r="C31" s="4" t="s">
        <v>12</v>
      </c>
      <c r="D31" s="4"/>
      <c r="E31" s="4" t="s">
        <v>166</v>
      </c>
      <c r="F31" s="3" t="s">
        <v>167</v>
      </c>
      <c r="G31" s="3" t="s">
        <v>16</v>
      </c>
      <c r="H31" s="4" t="s">
        <v>49</v>
      </c>
      <c r="I31" s="3" t="s">
        <v>18</v>
      </c>
      <c r="J31" s="4" t="s">
        <v>51</v>
      </c>
    </row>
    <row r="32" spans="1:10" ht="15.9" customHeight="1" x14ac:dyDescent="0.3">
      <c r="A32" s="1" t="s">
        <v>168</v>
      </c>
      <c r="B32" s="2" t="s">
        <v>169</v>
      </c>
      <c r="C32" s="2" t="s">
        <v>22</v>
      </c>
      <c r="D32" s="2" t="s">
        <v>170</v>
      </c>
      <c r="E32" s="2"/>
      <c r="F32" s="1" t="s">
        <v>171</v>
      </c>
      <c r="G32" s="1" t="s">
        <v>111</v>
      </c>
      <c r="H32" s="2" t="s">
        <v>49</v>
      </c>
      <c r="I32" s="1" t="s">
        <v>26</v>
      </c>
      <c r="J32" s="2" t="s">
        <v>66</v>
      </c>
    </row>
    <row r="33" spans="1:10" ht="15.9" customHeight="1" x14ac:dyDescent="0.3">
      <c r="A33" s="3" t="s">
        <v>172</v>
      </c>
      <c r="B33" s="4" t="s">
        <v>61</v>
      </c>
      <c r="C33" s="4" t="s">
        <v>37</v>
      </c>
      <c r="D33" s="4" t="s">
        <v>30</v>
      </c>
      <c r="E33" s="4" t="s">
        <v>173</v>
      </c>
      <c r="F33" s="3" t="s">
        <v>174</v>
      </c>
      <c r="G33" s="3" t="s">
        <v>79</v>
      </c>
      <c r="H33" s="4" t="s">
        <v>72</v>
      </c>
      <c r="I33" s="3" t="s">
        <v>50</v>
      </c>
      <c r="J33" s="4" t="s">
        <v>66</v>
      </c>
    </row>
    <row r="34" spans="1:10" ht="15.9" customHeight="1" x14ac:dyDescent="0.3">
      <c r="A34" s="1" t="s">
        <v>175</v>
      </c>
      <c r="B34" s="2" t="s">
        <v>108</v>
      </c>
      <c r="C34" s="2" t="s">
        <v>119</v>
      </c>
      <c r="D34" s="2" t="s">
        <v>176</v>
      </c>
      <c r="E34" s="2" t="s">
        <v>177</v>
      </c>
      <c r="F34" s="1" t="s">
        <v>178</v>
      </c>
      <c r="G34" s="1" t="s">
        <v>48</v>
      </c>
      <c r="H34" s="2" t="s">
        <v>42</v>
      </c>
      <c r="I34" s="1" t="s">
        <v>18</v>
      </c>
      <c r="J34" s="2" t="s">
        <v>106</v>
      </c>
    </row>
    <row r="35" spans="1:10" ht="15.9" customHeight="1" x14ac:dyDescent="0.3">
      <c r="A35" s="3" t="s">
        <v>179</v>
      </c>
      <c r="B35" s="4" t="s">
        <v>102</v>
      </c>
      <c r="C35" s="4" t="s">
        <v>22</v>
      </c>
      <c r="D35" s="4" t="s">
        <v>180</v>
      </c>
      <c r="E35" s="4" t="s">
        <v>181</v>
      </c>
      <c r="F35" s="3" t="s">
        <v>182</v>
      </c>
      <c r="G35" s="3" t="s">
        <v>16</v>
      </c>
      <c r="H35" s="4" t="s">
        <v>65</v>
      </c>
      <c r="I35" s="3" t="s">
        <v>112</v>
      </c>
      <c r="J35" s="4" t="s">
        <v>51</v>
      </c>
    </row>
    <row r="36" spans="1:10" ht="15.9" customHeight="1" x14ac:dyDescent="0.3">
      <c r="A36" s="1" t="s">
        <v>183</v>
      </c>
      <c r="B36" s="2" t="s">
        <v>184</v>
      </c>
      <c r="C36" s="2"/>
      <c r="D36" s="2" t="s">
        <v>185</v>
      </c>
      <c r="E36" s="2" t="s">
        <v>186</v>
      </c>
      <c r="F36" s="1" t="s">
        <v>187</v>
      </c>
      <c r="G36" s="1" t="s">
        <v>54</v>
      </c>
      <c r="H36" s="2" t="s">
        <v>17</v>
      </c>
      <c r="I36" s="1"/>
      <c r="J36" s="2" t="s">
        <v>27</v>
      </c>
    </row>
    <row r="37" spans="1:10" ht="15.9" customHeight="1" x14ac:dyDescent="0.3">
      <c r="A37" s="3" t="s">
        <v>188</v>
      </c>
      <c r="B37" s="4" t="s">
        <v>157</v>
      </c>
      <c r="C37" s="4" t="s">
        <v>45</v>
      </c>
      <c r="D37" s="4" t="s">
        <v>189</v>
      </c>
      <c r="E37" s="4" t="s">
        <v>190</v>
      </c>
      <c r="F37" s="3" t="s">
        <v>191</v>
      </c>
      <c r="G37" s="3" t="s">
        <v>111</v>
      </c>
      <c r="H37" s="4" t="s">
        <v>42</v>
      </c>
      <c r="I37" s="3" t="s">
        <v>18</v>
      </c>
      <c r="J37" s="4" t="s">
        <v>143</v>
      </c>
    </row>
    <row r="38" spans="1:10" ht="15.9" customHeight="1" x14ac:dyDescent="0.3">
      <c r="A38" s="1" t="s">
        <v>192</v>
      </c>
      <c r="B38" s="2" t="s">
        <v>193</v>
      </c>
      <c r="C38" s="2" t="s">
        <v>22</v>
      </c>
      <c r="D38" s="2" t="s">
        <v>194</v>
      </c>
      <c r="E38" s="2"/>
      <c r="F38" s="1" t="s">
        <v>195</v>
      </c>
      <c r="G38" s="1" t="s">
        <v>16</v>
      </c>
      <c r="H38" s="2" t="s">
        <v>42</v>
      </c>
      <c r="I38" s="1" t="s">
        <v>50</v>
      </c>
      <c r="J38" s="2" t="s">
        <v>91</v>
      </c>
    </row>
    <row r="39" spans="1:10" ht="15.9" customHeight="1" x14ac:dyDescent="0.3">
      <c r="A39" s="3" t="s">
        <v>196</v>
      </c>
      <c r="B39" s="4" t="s">
        <v>197</v>
      </c>
      <c r="C39" s="4" t="s">
        <v>45</v>
      </c>
      <c r="D39" s="4" t="s">
        <v>198</v>
      </c>
      <c r="E39" s="4" t="s">
        <v>199</v>
      </c>
      <c r="F39" s="3" t="s">
        <v>200</v>
      </c>
      <c r="G39" s="3" t="s">
        <v>54</v>
      </c>
      <c r="H39" s="4" t="s">
        <v>72</v>
      </c>
      <c r="I39" s="3" t="s">
        <v>73</v>
      </c>
      <c r="J39" s="4" t="s">
        <v>51</v>
      </c>
    </row>
    <row r="40" spans="1:10" ht="15.9" customHeight="1" x14ac:dyDescent="0.3">
      <c r="A40" s="1" t="s">
        <v>201</v>
      </c>
      <c r="B40" s="2" t="s">
        <v>202</v>
      </c>
      <c r="C40" s="2" t="s">
        <v>119</v>
      </c>
      <c r="D40" s="2" t="s">
        <v>30</v>
      </c>
      <c r="E40" s="2" t="s">
        <v>203</v>
      </c>
      <c r="F40" s="1" t="s">
        <v>204</v>
      </c>
      <c r="G40" s="1" t="s">
        <v>142</v>
      </c>
      <c r="H40" s="2" t="s">
        <v>42</v>
      </c>
      <c r="I40" s="1" t="s">
        <v>73</v>
      </c>
      <c r="J40" s="2" t="s">
        <v>106</v>
      </c>
    </row>
    <row r="41" spans="1:10" ht="15.9" customHeight="1" x14ac:dyDescent="0.3">
      <c r="A41" s="3" t="s">
        <v>205</v>
      </c>
      <c r="B41" s="4" t="s">
        <v>206</v>
      </c>
      <c r="C41" s="4" t="s">
        <v>22</v>
      </c>
      <c r="D41" s="4" t="s">
        <v>207</v>
      </c>
      <c r="E41" s="4" t="s">
        <v>30</v>
      </c>
      <c r="F41" s="3" t="s">
        <v>208</v>
      </c>
      <c r="G41" s="3" t="s">
        <v>54</v>
      </c>
      <c r="H41" s="4" t="s">
        <v>125</v>
      </c>
      <c r="I41" s="3" t="s">
        <v>18</v>
      </c>
      <c r="J41" s="4" t="s">
        <v>27</v>
      </c>
    </row>
    <row r="42" spans="1:10" ht="15.9" customHeight="1" x14ac:dyDescent="0.3">
      <c r="A42" s="1" t="s">
        <v>209</v>
      </c>
      <c r="B42" s="2" t="s">
        <v>93</v>
      </c>
      <c r="C42" s="2"/>
      <c r="D42" s="2" t="s">
        <v>210</v>
      </c>
      <c r="E42" s="2" t="s">
        <v>211</v>
      </c>
      <c r="F42" s="1" t="s">
        <v>212</v>
      </c>
      <c r="G42" s="1" t="s">
        <v>33</v>
      </c>
      <c r="H42" s="2" t="s">
        <v>83</v>
      </c>
      <c r="I42" s="1" t="s">
        <v>112</v>
      </c>
      <c r="J42" s="2" t="s">
        <v>51</v>
      </c>
    </row>
    <row r="43" spans="1:10" ht="15.9" customHeight="1" x14ac:dyDescent="0.3">
      <c r="A43" s="3" t="s">
        <v>213</v>
      </c>
      <c r="B43" s="4" t="s">
        <v>61</v>
      </c>
      <c r="C43" s="4" t="s">
        <v>119</v>
      </c>
      <c r="D43" s="4" t="s">
        <v>214</v>
      </c>
      <c r="E43" s="4" t="s">
        <v>30</v>
      </c>
      <c r="F43" s="3" t="s">
        <v>215</v>
      </c>
      <c r="G43" s="3" t="s">
        <v>16</v>
      </c>
      <c r="H43" s="4" t="s">
        <v>65</v>
      </c>
      <c r="I43" s="3" t="s">
        <v>216</v>
      </c>
      <c r="J43" s="4" t="s">
        <v>27</v>
      </c>
    </row>
    <row r="44" spans="1:10" ht="15.9" customHeight="1" x14ac:dyDescent="0.3">
      <c r="A44" s="1" t="s">
        <v>217</v>
      </c>
      <c r="B44" s="2" t="s">
        <v>44</v>
      </c>
      <c r="C44" s="2"/>
      <c r="D44" s="2" t="s">
        <v>218</v>
      </c>
      <c r="E44" s="2" t="s">
        <v>30</v>
      </c>
      <c r="F44" s="1" t="s">
        <v>219</v>
      </c>
      <c r="G44" s="1" t="s">
        <v>111</v>
      </c>
      <c r="H44" s="2"/>
      <c r="I44" s="1" t="s">
        <v>112</v>
      </c>
      <c r="J44" s="2" t="s">
        <v>91</v>
      </c>
    </row>
    <row r="45" spans="1:10" ht="15.9" customHeight="1" x14ac:dyDescent="0.3">
      <c r="A45" s="3" t="s">
        <v>220</v>
      </c>
      <c r="B45" s="4" t="s">
        <v>36</v>
      </c>
      <c r="C45" s="4" t="s">
        <v>12</v>
      </c>
      <c r="D45" s="4"/>
      <c r="E45" s="4" t="s">
        <v>221</v>
      </c>
      <c r="F45" s="3" t="s">
        <v>222</v>
      </c>
      <c r="G45" s="3" t="s">
        <v>41</v>
      </c>
      <c r="H45" s="4" t="s">
        <v>125</v>
      </c>
      <c r="I45" s="3" t="s">
        <v>73</v>
      </c>
      <c r="J45" s="4" t="s">
        <v>34</v>
      </c>
    </row>
    <row r="46" spans="1:10" ht="15.9" customHeight="1" x14ac:dyDescent="0.3">
      <c r="A46" s="1" t="s">
        <v>223</v>
      </c>
      <c r="B46" s="2" t="s">
        <v>11</v>
      </c>
      <c r="C46" s="2" t="s">
        <v>37</v>
      </c>
      <c r="D46" s="2" t="s">
        <v>224</v>
      </c>
      <c r="E46" s="2"/>
      <c r="F46" s="1" t="s">
        <v>225</v>
      </c>
      <c r="G46" s="1" t="s">
        <v>33</v>
      </c>
      <c r="H46" s="2" t="s">
        <v>125</v>
      </c>
      <c r="I46" s="1" t="s">
        <v>26</v>
      </c>
      <c r="J46" s="2" t="s">
        <v>106</v>
      </c>
    </row>
    <row r="47" spans="1:10" ht="15.9" customHeight="1" x14ac:dyDescent="0.3">
      <c r="A47" s="3" t="s">
        <v>226</v>
      </c>
      <c r="B47" s="4" t="s">
        <v>227</v>
      </c>
      <c r="C47" s="4" t="s">
        <v>45</v>
      </c>
      <c r="D47" s="4" t="s">
        <v>30</v>
      </c>
      <c r="E47" s="4" t="s">
        <v>228</v>
      </c>
      <c r="F47" s="3" t="s">
        <v>132</v>
      </c>
      <c r="G47" s="3" t="s">
        <v>142</v>
      </c>
      <c r="H47" s="4" t="s">
        <v>25</v>
      </c>
      <c r="I47" s="3" t="s">
        <v>50</v>
      </c>
      <c r="J47" s="4" t="s">
        <v>34</v>
      </c>
    </row>
    <row r="48" spans="1:10" ht="15.9" customHeight="1" x14ac:dyDescent="0.3">
      <c r="A48" s="1" t="s">
        <v>229</v>
      </c>
      <c r="B48" s="2" t="s">
        <v>36</v>
      </c>
      <c r="C48" s="2" t="s">
        <v>12</v>
      </c>
      <c r="D48" s="2" t="s">
        <v>230</v>
      </c>
      <c r="E48" s="2" t="s">
        <v>231</v>
      </c>
      <c r="F48" s="1" t="s">
        <v>232</v>
      </c>
      <c r="G48" s="1" t="s">
        <v>79</v>
      </c>
      <c r="H48" s="2" t="s">
        <v>17</v>
      </c>
      <c r="I48" s="1" t="s">
        <v>216</v>
      </c>
      <c r="J48" s="2" t="s">
        <v>106</v>
      </c>
    </row>
    <row r="49" spans="1:10" ht="15.9" customHeight="1" x14ac:dyDescent="0.3">
      <c r="A49" s="3" t="s">
        <v>233</v>
      </c>
      <c r="B49" s="4" t="s">
        <v>75</v>
      </c>
      <c r="C49" s="4"/>
      <c r="D49" s="4" t="s">
        <v>234</v>
      </c>
      <c r="E49" s="4" t="s">
        <v>235</v>
      </c>
      <c r="F49" s="3" t="s">
        <v>236</v>
      </c>
      <c r="G49" s="3" t="s">
        <v>16</v>
      </c>
      <c r="H49" s="4" t="s">
        <v>49</v>
      </c>
      <c r="I49" s="3" t="s">
        <v>73</v>
      </c>
      <c r="J49" s="4" t="s">
        <v>106</v>
      </c>
    </row>
    <row r="50" spans="1:10" ht="15.9" customHeight="1" x14ac:dyDescent="0.3">
      <c r="A50" s="1" t="s">
        <v>237</v>
      </c>
      <c r="B50" s="2" t="s">
        <v>61</v>
      </c>
      <c r="C50" s="2" t="s">
        <v>12</v>
      </c>
      <c r="D50" s="2" t="s">
        <v>30</v>
      </c>
      <c r="E50" s="2" t="s">
        <v>30</v>
      </c>
      <c r="F50" s="1" t="s">
        <v>238</v>
      </c>
      <c r="G50" s="1" t="s">
        <v>16</v>
      </c>
      <c r="H50" s="2" t="s">
        <v>25</v>
      </c>
      <c r="I50" s="1" t="s">
        <v>73</v>
      </c>
      <c r="J50" s="2" t="s">
        <v>106</v>
      </c>
    </row>
    <row r="51" spans="1:10" ht="15.9" customHeight="1" x14ac:dyDescent="0.3">
      <c r="A51" s="3" t="s">
        <v>239</v>
      </c>
      <c r="B51" s="4" t="s">
        <v>240</v>
      </c>
      <c r="C51" s="4"/>
      <c r="D51" s="4" t="s">
        <v>241</v>
      </c>
      <c r="E51" s="4" t="s">
        <v>242</v>
      </c>
      <c r="F51" s="3" t="s">
        <v>243</v>
      </c>
      <c r="G51" s="3" t="s">
        <v>54</v>
      </c>
      <c r="H51" s="4" t="s">
        <v>125</v>
      </c>
      <c r="I51" s="3" t="s">
        <v>112</v>
      </c>
      <c r="J51" s="4" t="s">
        <v>106</v>
      </c>
    </row>
    <row r="52" spans="1:10" ht="15.9" customHeight="1" x14ac:dyDescent="0.3">
      <c r="A52" s="1" t="s">
        <v>244</v>
      </c>
      <c r="B52" s="2" t="s">
        <v>157</v>
      </c>
      <c r="C52" s="2" t="s">
        <v>45</v>
      </c>
      <c r="D52" s="2"/>
      <c r="E52" s="2" t="s">
        <v>30</v>
      </c>
      <c r="F52" s="1" t="s">
        <v>245</v>
      </c>
      <c r="G52" s="1" t="s">
        <v>54</v>
      </c>
      <c r="H52" s="2" t="s">
        <v>65</v>
      </c>
      <c r="I52" s="1"/>
      <c r="J52" s="2" t="s">
        <v>51</v>
      </c>
    </row>
    <row r="53" spans="1:10" ht="15.9" customHeight="1" x14ac:dyDescent="0.3">
      <c r="A53" s="3" t="s">
        <v>246</v>
      </c>
      <c r="B53" s="4" t="s">
        <v>134</v>
      </c>
      <c r="C53" s="4" t="s">
        <v>12</v>
      </c>
      <c r="D53" s="4" t="s">
        <v>247</v>
      </c>
      <c r="E53" s="4" t="s">
        <v>248</v>
      </c>
      <c r="F53" s="3" t="s">
        <v>249</v>
      </c>
      <c r="G53" s="3" t="s">
        <v>33</v>
      </c>
      <c r="H53" s="4" t="s">
        <v>25</v>
      </c>
      <c r="I53" s="3" t="s">
        <v>73</v>
      </c>
      <c r="J53" s="4" t="s">
        <v>51</v>
      </c>
    </row>
    <row r="54" spans="1:10" ht="15.9" customHeight="1" x14ac:dyDescent="0.3">
      <c r="A54" s="1" t="s">
        <v>250</v>
      </c>
      <c r="B54" s="2" t="s">
        <v>118</v>
      </c>
      <c r="C54" s="2" t="s">
        <v>37</v>
      </c>
      <c r="D54" s="2" t="s">
        <v>30</v>
      </c>
      <c r="E54" s="2" t="s">
        <v>251</v>
      </c>
      <c r="F54" s="1" t="s">
        <v>252</v>
      </c>
      <c r="G54" s="1" t="s">
        <v>142</v>
      </c>
      <c r="H54" s="2" t="s">
        <v>125</v>
      </c>
      <c r="I54" s="1" t="s">
        <v>216</v>
      </c>
      <c r="J54" s="2" t="s">
        <v>34</v>
      </c>
    </row>
    <row r="55" spans="1:10" ht="15.9" customHeight="1" x14ac:dyDescent="0.3">
      <c r="A55" s="3" t="s">
        <v>253</v>
      </c>
      <c r="B55" s="4" t="s">
        <v>157</v>
      </c>
      <c r="C55" s="4"/>
      <c r="D55" s="4"/>
      <c r="E55" s="4" t="s">
        <v>254</v>
      </c>
      <c r="F55" s="3" t="s">
        <v>255</v>
      </c>
      <c r="G55" s="3" t="s">
        <v>16</v>
      </c>
      <c r="H55" s="4" t="s">
        <v>42</v>
      </c>
      <c r="I55" s="3" t="s">
        <v>73</v>
      </c>
      <c r="J55" s="4" t="s">
        <v>27</v>
      </c>
    </row>
    <row r="56" spans="1:10" ht="15.9" customHeight="1" x14ac:dyDescent="0.3">
      <c r="A56" s="1" t="s">
        <v>256</v>
      </c>
      <c r="B56" s="2" t="s">
        <v>134</v>
      </c>
      <c r="C56" s="2" t="s">
        <v>45</v>
      </c>
      <c r="D56" s="2" t="s">
        <v>257</v>
      </c>
      <c r="E56" s="2" t="s">
        <v>258</v>
      </c>
      <c r="F56" s="1" t="s">
        <v>259</v>
      </c>
      <c r="G56" s="1" t="s">
        <v>16</v>
      </c>
      <c r="H56" s="2" t="s">
        <v>17</v>
      </c>
      <c r="I56" s="1" t="s">
        <v>50</v>
      </c>
      <c r="J56" s="2" t="s">
        <v>51</v>
      </c>
    </row>
    <row r="57" spans="1:10" ht="15.9" customHeight="1" x14ac:dyDescent="0.3">
      <c r="A57" s="3" t="s">
        <v>260</v>
      </c>
      <c r="B57" s="4" t="s">
        <v>21</v>
      </c>
      <c r="C57" s="4" t="s">
        <v>37</v>
      </c>
      <c r="D57" s="4" t="s">
        <v>261</v>
      </c>
      <c r="E57" s="4" t="s">
        <v>262</v>
      </c>
      <c r="F57" s="3" t="s">
        <v>263</v>
      </c>
      <c r="G57" s="3" t="s">
        <v>111</v>
      </c>
      <c r="H57" s="4" t="s">
        <v>83</v>
      </c>
      <c r="I57" s="3" t="s">
        <v>26</v>
      </c>
      <c r="J57" s="4" t="s">
        <v>91</v>
      </c>
    </row>
    <row r="58" spans="1:10" ht="15.9" customHeight="1" x14ac:dyDescent="0.3">
      <c r="A58" s="1" t="s">
        <v>264</v>
      </c>
      <c r="B58" s="2" t="s">
        <v>75</v>
      </c>
      <c r="C58" s="2" t="s">
        <v>62</v>
      </c>
      <c r="D58" s="2" t="s">
        <v>265</v>
      </c>
      <c r="E58" s="2" t="s">
        <v>266</v>
      </c>
      <c r="F58" s="1" t="s">
        <v>267</v>
      </c>
      <c r="G58" s="1" t="s">
        <v>41</v>
      </c>
      <c r="H58" s="2" t="s">
        <v>17</v>
      </c>
      <c r="I58" s="1" t="s">
        <v>50</v>
      </c>
      <c r="J58" s="2" t="s">
        <v>27</v>
      </c>
    </row>
    <row r="59" spans="1:10" ht="15.9" customHeight="1" x14ac:dyDescent="0.3">
      <c r="A59" s="3" t="s">
        <v>268</v>
      </c>
      <c r="B59" s="4" t="s">
        <v>184</v>
      </c>
      <c r="C59" s="4" t="s">
        <v>37</v>
      </c>
      <c r="D59" s="4"/>
      <c r="E59" s="4" t="s">
        <v>30</v>
      </c>
      <c r="F59" s="3" t="s">
        <v>269</v>
      </c>
      <c r="G59" s="3" t="s">
        <v>111</v>
      </c>
      <c r="H59" s="4" t="s">
        <v>125</v>
      </c>
      <c r="I59" s="3"/>
      <c r="J59" s="4" t="s">
        <v>143</v>
      </c>
    </row>
    <row r="60" spans="1:10" ht="15.9" customHeight="1" x14ac:dyDescent="0.3">
      <c r="A60" s="1" t="s">
        <v>270</v>
      </c>
      <c r="B60" s="2" t="s">
        <v>149</v>
      </c>
      <c r="C60" s="2" t="s">
        <v>37</v>
      </c>
      <c r="D60" s="2" t="s">
        <v>271</v>
      </c>
      <c r="E60" s="2" t="s">
        <v>272</v>
      </c>
      <c r="F60" s="1" t="s">
        <v>273</v>
      </c>
      <c r="G60" s="1" t="s">
        <v>111</v>
      </c>
      <c r="H60" s="2" t="s">
        <v>65</v>
      </c>
      <c r="I60" s="1" t="s">
        <v>216</v>
      </c>
      <c r="J60" s="2" t="s">
        <v>143</v>
      </c>
    </row>
    <row r="61" spans="1:10" ht="15.9" customHeight="1" x14ac:dyDescent="0.3">
      <c r="A61" s="3" t="s">
        <v>274</v>
      </c>
      <c r="B61" s="4" t="s">
        <v>275</v>
      </c>
      <c r="C61" s="4" t="s">
        <v>62</v>
      </c>
      <c r="D61" s="4" t="s">
        <v>30</v>
      </c>
      <c r="E61" s="4" t="s">
        <v>276</v>
      </c>
      <c r="F61" s="3" t="s">
        <v>277</v>
      </c>
      <c r="G61" s="3" t="s">
        <v>48</v>
      </c>
      <c r="H61" s="4" t="s">
        <v>42</v>
      </c>
      <c r="I61" s="3" t="s">
        <v>73</v>
      </c>
      <c r="J61" s="4" t="s">
        <v>91</v>
      </c>
    </row>
    <row r="62" spans="1:10" ht="15.9" customHeight="1" x14ac:dyDescent="0.3">
      <c r="A62" s="1" t="s">
        <v>278</v>
      </c>
      <c r="B62" s="2" t="s">
        <v>202</v>
      </c>
      <c r="C62" s="2" t="s">
        <v>119</v>
      </c>
      <c r="D62" s="2" t="s">
        <v>279</v>
      </c>
      <c r="E62" s="2" t="s">
        <v>280</v>
      </c>
      <c r="F62" s="1" t="s">
        <v>281</v>
      </c>
      <c r="G62" s="1" t="s">
        <v>33</v>
      </c>
      <c r="H62" s="2" t="s">
        <v>83</v>
      </c>
      <c r="I62" s="1" t="s">
        <v>26</v>
      </c>
      <c r="J62" s="2" t="s">
        <v>143</v>
      </c>
    </row>
    <row r="63" spans="1:10" ht="15.9" customHeight="1" x14ac:dyDescent="0.3">
      <c r="A63" s="3" t="s">
        <v>282</v>
      </c>
      <c r="B63" s="4" t="s">
        <v>202</v>
      </c>
      <c r="C63" s="4" t="s">
        <v>119</v>
      </c>
      <c r="D63" s="4" t="s">
        <v>283</v>
      </c>
      <c r="E63" s="4" t="s">
        <v>284</v>
      </c>
      <c r="F63" s="3" t="s">
        <v>285</v>
      </c>
      <c r="G63" s="3" t="s">
        <v>142</v>
      </c>
      <c r="H63" s="4" t="s">
        <v>25</v>
      </c>
      <c r="I63" s="3" t="s">
        <v>26</v>
      </c>
      <c r="J63" s="4" t="s">
        <v>51</v>
      </c>
    </row>
    <row r="64" spans="1:10" ht="15.9" customHeight="1" x14ac:dyDescent="0.3">
      <c r="A64" s="1" t="s">
        <v>286</v>
      </c>
      <c r="B64" s="2" t="s">
        <v>193</v>
      </c>
      <c r="C64" s="2" t="s">
        <v>45</v>
      </c>
      <c r="D64" s="2" t="s">
        <v>287</v>
      </c>
      <c r="E64" s="2" t="s">
        <v>30</v>
      </c>
      <c r="F64" s="1" t="s">
        <v>288</v>
      </c>
      <c r="G64" s="1" t="s">
        <v>41</v>
      </c>
      <c r="H64" s="2" t="s">
        <v>65</v>
      </c>
      <c r="I64" s="1" t="s">
        <v>50</v>
      </c>
      <c r="J64" s="2" t="s">
        <v>27</v>
      </c>
    </row>
    <row r="65" spans="1:10" ht="15.9" customHeight="1" x14ac:dyDescent="0.3">
      <c r="A65" s="3" t="s">
        <v>289</v>
      </c>
      <c r="B65" s="4" t="s">
        <v>290</v>
      </c>
      <c r="C65" s="4" t="s">
        <v>45</v>
      </c>
      <c r="D65" s="4" t="s">
        <v>291</v>
      </c>
      <c r="E65" s="4" t="s">
        <v>292</v>
      </c>
      <c r="F65" s="3" t="s">
        <v>293</v>
      </c>
      <c r="G65" s="3" t="s">
        <v>111</v>
      </c>
      <c r="H65" s="4" t="s">
        <v>83</v>
      </c>
      <c r="I65" s="3" t="s">
        <v>216</v>
      </c>
      <c r="J65" s="4" t="s">
        <v>91</v>
      </c>
    </row>
    <row r="66" spans="1:10" ht="15.9" customHeight="1" x14ac:dyDescent="0.3">
      <c r="A66" s="1" t="s">
        <v>294</v>
      </c>
      <c r="B66" s="2" t="s">
        <v>184</v>
      </c>
      <c r="C66" s="2" t="s">
        <v>22</v>
      </c>
      <c r="D66" s="2" t="s">
        <v>30</v>
      </c>
      <c r="E66" s="2" t="s">
        <v>295</v>
      </c>
      <c r="F66" s="1" t="s">
        <v>296</v>
      </c>
      <c r="G66" s="1" t="s">
        <v>79</v>
      </c>
      <c r="H66" s="2" t="s">
        <v>65</v>
      </c>
      <c r="I66" s="1" t="s">
        <v>50</v>
      </c>
      <c r="J66" s="2" t="s">
        <v>34</v>
      </c>
    </row>
    <row r="67" spans="1:10" ht="15.9" customHeight="1" x14ac:dyDescent="0.3">
      <c r="A67" s="3" t="s">
        <v>297</v>
      </c>
      <c r="B67" s="4" t="s">
        <v>298</v>
      </c>
      <c r="C67" s="4" t="s">
        <v>62</v>
      </c>
      <c r="D67" s="4" t="s">
        <v>299</v>
      </c>
      <c r="E67" s="4" t="s">
        <v>300</v>
      </c>
      <c r="F67" s="3" t="s">
        <v>301</v>
      </c>
      <c r="G67" s="3" t="s">
        <v>54</v>
      </c>
      <c r="H67" s="4"/>
      <c r="I67" s="3" t="s">
        <v>73</v>
      </c>
      <c r="J67" s="4"/>
    </row>
    <row r="68" spans="1:10" ht="15.9" customHeight="1" x14ac:dyDescent="0.3">
      <c r="A68" s="1" t="s">
        <v>302</v>
      </c>
      <c r="B68" s="2" t="s">
        <v>303</v>
      </c>
      <c r="C68" s="2" t="s">
        <v>119</v>
      </c>
      <c r="D68" s="2" t="s">
        <v>304</v>
      </c>
      <c r="E68" s="2" t="s">
        <v>305</v>
      </c>
      <c r="F68" s="1" t="s">
        <v>306</v>
      </c>
      <c r="G68" s="1" t="s">
        <v>41</v>
      </c>
      <c r="H68" s="2" t="s">
        <v>72</v>
      </c>
      <c r="I68" s="1" t="s">
        <v>216</v>
      </c>
      <c r="J68" s="2" t="s">
        <v>91</v>
      </c>
    </row>
    <row r="69" spans="1:10" ht="15.9" customHeight="1" x14ac:dyDescent="0.3">
      <c r="A69" s="3" t="s">
        <v>307</v>
      </c>
      <c r="B69" s="4" t="s">
        <v>169</v>
      </c>
      <c r="C69" s="4" t="s">
        <v>12</v>
      </c>
      <c r="D69" s="4" t="s">
        <v>308</v>
      </c>
      <c r="E69" s="4" t="s">
        <v>30</v>
      </c>
      <c r="F69" s="3" t="s">
        <v>309</v>
      </c>
      <c r="G69" s="3" t="s">
        <v>142</v>
      </c>
      <c r="H69" s="4" t="s">
        <v>125</v>
      </c>
      <c r="I69" s="3" t="s">
        <v>73</v>
      </c>
      <c r="J69" s="4" t="s">
        <v>66</v>
      </c>
    </row>
    <row r="70" spans="1:10" ht="15.9" customHeight="1" x14ac:dyDescent="0.3">
      <c r="A70" s="1" t="s">
        <v>310</v>
      </c>
      <c r="B70" s="2" t="s">
        <v>227</v>
      </c>
      <c r="C70" s="2" t="s">
        <v>119</v>
      </c>
      <c r="D70" s="2" t="s">
        <v>311</v>
      </c>
      <c r="E70" s="2" t="s">
        <v>312</v>
      </c>
      <c r="F70" s="1" t="s">
        <v>313</v>
      </c>
      <c r="G70" s="1" t="s">
        <v>54</v>
      </c>
      <c r="H70" s="2"/>
      <c r="I70" s="1" t="s">
        <v>50</v>
      </c>
      <c r="J70" s="2" t="s">
        <v>51</v>
      </c>
    </row>
    <row r="71" spans="1:10" ht="15.9" customHeight="1" x14ac:dyDescent="0.3">
      <c r="A71" s="3" t="s">
        <v>314</v>
      </c>
      <c r="B71" s="4" t="s">
        <v>29</v>
      </c>
      <c r="C71" s="4" t="s">
        <v>22</v>
      </c>
      <c r="D71" s="4"/>
      <c r="E71" s="4" t="s">
        <v>30</v>
      </c>
      <c r="F71" s="3" t="s">
        <v>315</v>
      </c>
      <c r="G71" s="3" t="s">
        <v>79</v>
      </c>
      <c r="H71" s="4" t="s">
        <v>125</v>
      </c>
      <c r="I71" s="3" t="s">
        <v>50</v>
      </c>
      <c r="J71" s="4" t="s">
        <v>143</v>
      </c>
    </row>
    <row r="72" spans="1:10" ht="15.9" customHeight="1" x14ac:dyDescent="0.3">
      <c r="A72" s="1" t="s">
        <v>316</v>
      </c>
      <c r="B72" s="2" t="s">
        <v>108</v>
      </c>
      <c r="C72" s="2" t="s">
        <v>22</v>
      </c>
      <c r="D72" s="2"/>
      <c r="E72" s="2" t="s">
        <v>317</v>
      </c>
      <c r="F72" s="1" t="s">
        <v>318</v>
      </c>
      <c r="G72" s="1" t="s">
        <v>48</v>
      </c>
      <c r="H72" s="2" t="s">
        <v>65</v>
      </c>
      <c r="I72" s="1" t="s">
        <v>73</v>
      </c>
      <c r="J72" s="2" t="s">
        <v>143</v>
      </c>
    </row>
    <row r="73" spans="1:10" ht="15.9" customHeight="1" x14ac:dyDescent="0.3">
      <c r="A73" s="3" t="s">
        <v>319</v>
      </c>
      <c r="B73" s="4" t="s">
        <v>290</v>
      </c>
      <c r="C73" s="4" t="s">
        <v>37</v>
      </c>
      <c r="D73" s="4" t="s">
        <v>320</v>
      </c>
      <c r="E73" s="4"/>
      <c r="F73" s="3" t="s">
        <v>321</v>
      </c>
      <c r="G73" s="3" t="s">
        <v>41</v>
      </c>
      <c r="H73" s="4" t="s">
        <v>49</v>
      </c>
      <c r="I73" s="3" t="s">
        <v>73</v>
      </c>
      <c r="J73" s="4"/>
    </row>
    <row r="74" spans="1:10" ht="15.9" customHeight="1" x14ac:dyDescent="0.3">
      <c r="A74" s="1" t="s">
        <v>322</v>
      </c>
      <c r="B74" s="2" t="s">
        <v>102</v>
      </c>
      <c r="C74" s="2" t="s">
        <v>12</v>
      </c>
      <c r="D74" s="2" t="s">
        <v>323</v>
      </c>
      <c r="E74" s="2" t="s">
        <v>324</v>
      </c>
      <c r="F74" s="1" t="s">
        <v>325</v>
      </c>
      <c r="G74" s="1" t="s">
        <v>48</v>
      </c>
      <c r="H74" s="2" t="s">
        <v>25</v>
      </c>
      <c r="I74" s="1" t="s">
        <v>26</v>
      </c>
      <c r="J74" s="2" t="s">
        <v>143</v>
      </c>
    </row>
    <row r="75" spans="1:10" ht="15.9" customHeight="1" x14ac:dyDescent="0.3">
      <c r="A75" s="3" t="s">
        <v>326</v>
      </c>
      <c r="B75" s="4" t="s">
        <v>36</v>
      </c>
      <c r="C75" s="4" t="s">
        <v>45</v>
      </c>
      <c r="D75" s="4" t="s">
        <v>327</v>
      </c>
      <c r="E75" s="4" t="s">
        <v>328</v>
      </c>
      <c r="F75" s="3" t="s">
        <v>329</v>
      </c>
      <c r="G75" s="3" t="s">
        <v>54</v>
      </c>
      <c r="H75" s="4" t="s">
        <v>125</v>
      </c>
      <c r="I75" s="3" t="s">
        <v>26</v>
      </c>
      <c r="J75" s="4" t="s">
        <v>51</v>
      </c>
    </row>
    <row r="76" spans="1:10" ht="15.9" customHeight="1" x14ac:dyDescent="0.3">
      <c r="A76" s="1" t="s">
        <v>330</v>
      </c>
      <c r="B76" s="2" t="s">
        <v>29</v>
      </c>
      <c r="C76" s="2" t="s">
        <v>62</v>
      </c>
      <c r="D76" s="2" t="s">
        <v>331</v>
      </c>
      <c r="E76" s="2" t="s">
        <v>332</v>
      </c>
      <c r="F76" s="1" t="s">
        <v>325</v>
      </c>
      <c r="G76" s="1" t="s">
        <v>142</v>
      </c>
      <c r="H76" s="2" t="s">
        <v>49</v>
      </c>
      <c r="I76" s="1" t="s">
        <v>112</v>
      </c>
      <c r="J76" s="2" t="s">
        <v>19</v>
      </c>
    </row>
    <row r="77" spans="1:10" ht="15.9" customHeight="1" x14ac:dyDescent="0.3">
      <c r="A77" s="3" t="s">
        <v>333</v>
      </c>
      <c r="B77" s="4" t="s">
        <v>202</v>
      </c>
      <c r="C77" s="4" t="s">
        <v>62</v>
      </c>
      <c r="D77" s="4" t="s">
        <v>30</v>
      </c>
      <c r="E77" s="4" t="s">
        <v>334</v>
      </c>
      <c r="F77" s="3" t="s">
        <v>259</v>
      </c>
      <c r="G77" s="3" t="s">
        <v>33</v>
      </c>
      <c r="H77" s="4" t="s">
        <v>42</v>
      </c>
      <c r="I77" s="3" t="s">
        <v>50</v>
      </c>
      <c r="J77" s="4" t="s">
        <v>106</v>
      </c>
    </row>
    <row r="78" spans="1:10" ht="15.9" customHeight="1" x14ac:dyDescent="0.3">
      <c r="A78" s="1" t="s">
        <v>335</v>
      </c>
      <c r="B78" s="2" t="s">
        <v>88</v>
      </c>
      <c r="C78" s="2"/>
      <c r="D78" s="2" t="s">
        <v>336</v>
      </c>
      <c r="E78" s="2" t="s">
        <v>337</v>
      </c>
      <c r="F78" s="1" t="s">
        <v>147</v>
      </c>
      <c r="G78" s="1" t="s">
        <v>111</v>
      </c>
      <c r="H78" s="2" t="s">
        <v>65</v>
      </c>
      <c r="I78" s="1" t="s">
        <v>18</v>
      </c>
      <c r="J78" s="2"/>
    </row>
    <row r="79" spans="1:10" ht="15.9" customHeight="1" x14ac:dyDescent="0.3">
      <c r="A79" s="3" t="s">
        <v>338</v>
      </c>
      <c r="B79" s="4" t="s">
        <v>240</v>
      </c>
      <c r="C79" s="4" t="s">
        <v>37</v>
      </c>
      <c r="D79" s="4" t="s">
        <v>339</v>
      </c>
      <c r="E79" s="4" t="s">
        <v>340</v>
      </c>
      <c r="F79" s="3" t="s">
        <v>232</v>
      </c>
      <c r="G79" s="3" t="s">
        <v>54</v>
      </c>
      <c r="H79" s="4" t="s">
        <v>17</v>
      </c>
      <c r="I79" s="3" t="s">
        <v>216</v>
      </c>
      <c r="J79" s="4" t="s">
        <v>51</v>
      </c>
    </row>
    <row r="80" spans="1:10" ht="15.9" customHeight="1" x14ac:dyDescent="0.3">
      <c r="A80" s="1" t="s">
        <v>341</v>
      </c>
      <c r="B80" s="2" t="s">
        <v>342</v>
      </c>
      <c r="C80" s="2" t="s">
        <v>62</v>
      </c>
      <c r="D80" s="2" t="s">
        <v>343</v>
      </c>
      <c r="E80" s="2" t="s">
        <v>344</v>
      </c>
      <c r="F80" s="1" t="s">
        <v>345</v>
      </c>
      <c r="G80" s="1" t="s">
        <v>41</v>
      </c>
      <c r="H80" s="2" t="s">
        <v>42</v>
      </c>
      <c r="I80" s="1" t="s">
        <v>26</v>
      </c>
      <c r="J80" s="2" t="s">
        <v>34</v>
      </c>
    </row>
    <row r="81" spans="1:10" ht="15.9" customHeight="1" x14ac:dyDescent="0.3">
      <c r="A81" s="3" t="s">
        <v>346</v>
      </c>
      <c r="B81" s="4" t="s">
        <v>11</v>
      </c>
      <c r="C81" s="4" t="s">
        <v>119</v>
      </c>
      <c r="D81" s="4" t="s">
        <v>347</v>
      </c>
      <c r="E81" s="4" t="s">
        <v>30</v>
      </c>
      <c r="F81" s="3" t="s">
        <v>348</v>
      </c>
      <c r="G81" s="3" t="s">
        <v>54</v>
      </c>
      <c r="H81" s="4" t="s">
        <v>65</v>
      </c>
      <c r="I81" s="3" t="s">
        <v>50</v>
      </c>
      <c r="J81" s="4" t="s">
        <v>51</v>
      </c>
    </row>
    <row r="82" spans="1:10" ht="15.9" customHeight="1" x14ac:dyDescent="0.3">
      <c r="A82" s="1" t="s">
        <v>349</v>
      </c>
      <c r="B82" s="2" t="s">
        <v>93</v>
      </c>
      <c r="C82" s="2" t="s">
        <v>22</v>
      </c>
      <c r="D82" s="2" t="s">
        <v>350</v>
      </c>
      <c r="E82" s="2" t="s">
        <v>351</v>
      </c>
      <c r="F82" s="1" t="s">
        <v>352</v>
      </c>
      <c r="G82" s="1" t="s">
        <v>54</v>
      </c>
      <c r="H82" s="2" t="s">
        <v>65</v>
      </c>
      <c r="I82" s="1" t="s">
        <v>112</v>
      </c>
      <c r="J82" s="2" t="s">
        <v>91</v>
      </c>
    </row>
    <row r="83" spans="1:10" ht="15.9" customHeight="1" x14ac:dyDescent="0.3">
      <c r="A83" s="3" t="s">
        <v>353</v>
      </c>
      <c r="B83" s="4" t="s">
        <v>354</v>
      </c>
      <c r="C83" s="4" t="s">
        <v>119</v>
      </c>
      <c r="D83" s="4" t="s">
        <v>355</v>
      </c>
      <c r="E83" s="4" t="s">
        <v>356</v>
      </c>
      <c r="F83" s="3" t="s">
        <v>357</v>
      </c>
      <c r="G83" s="3" t="s">
        <v>54</v>
      </c>
      <c r="H83" s="4" t="s">
        <v>42</v>
      </c>
      <c r="I83" s="3" t="s">
        <v>18</v>
      </c>
      <c r="J83" s="4" t="s">
        <v>19</v>
      </c>
    </row>
    <row r="84" spans="1:10" ht="15.9" customHeight="1" x14ac:dyDescent="0.3">
      <c r="A84" s="1" t="s">
        <v>358</v>
      </c>
      <c r="B84" s="2" t="s">
        <v>134</v>
      </c>
      <c r="C84" s="2" t="s">
        <v>45</v>
      </c>
      <c r="D84" s="2" t="s">
        <v>359</v>
      </c>
      <c r="E84" s="2" t="s">
        <v>360</v>
      </c>
      <c r="F84" s="1" t="s">
        <v>361</v>
      </c>
      <c r="G84" s="1" t="s">
        <v>33</v>
      </c>
      <c r="H84" s="2" t="s">
        <v>17</v>
      </c>
      <c r="I84" s="1" t="s">
        <v>26</v>
      </c>
      <c r="J84" s="2" t="s">
        <v>143</v>
      </c>
    </row>
    <row r="85" spans="1:10" ht="15.9" customHeight="1" x14ac:dyDescent="0.3">
      <c r="A85" s="3" t="s">
        <v>362</v>
      </c>
      <c r="B85" s="4" t="s">
        <v>36</v>
      </c>
      <c r="C85" s="4" t="s">
        <v>45</v>
      </c>
      <c r="D85" s="4"/>
      <c r="E85" s="4" t="s">
        <v>363</v>
      </c>
      <c r="F85" s="3" t="s">
        <v>364</v>
      </c>
      <c r="G85" s="3" t="s">
        <v>33</v>
      </c>
      <c r="H85" s="4" t="s">
        <v>49</v>
      </c>
      <c r="I85" s="3" t="s">
        <v>18</v>
      </c>
      <c r="J85" s="4" t="s">
        <v>27</v>
      </c>
    </row>
    <row r="86" spans="1:10" ht="15.9" customHeight="1" x14ac:dyDescent="0.3">
      <c r="A86" s="1" t="s">
        <v>365</v>
      </c>
      <c r="B86" s="2" t="s">
        <v>206</v>
      </c>
      <c r="C86" s="2"/>
      <c r="D86" s="2" t="s">
        <v>366</v>
      </c>
      <c r="E86" s="2" t="s">
        <v>367</v>
      </c>
      <c r="F86" s="1" t="s">
        <v>368</v>
      </c>
      <c r="G86" s="1" t="s">
        <v>142</v>
      </c>
      <c r="H86" s="2"/>
      <c r="I86" s="1" t="s">
        <v>50</v>
      </c>
      <c r="J86" s="2" t="s">
        <v>91</v>
      </c>
    </row>
    <row r="87" spans="1:10" ht="15.9" customHeight="1" x14ac:dyDescent="0.3">
      <c r="A87" s="3" t="s">
        <v>369</v>
      </c>
      <c r="B87" s="4" t="s">
        <v>169</v>
      </c>
      <c r="C87" s="4"/>
      <c r="D87" s="4"/>
      <c r="E87" s="4" t="s">
        <v>370</v>
      </c>
      <c r="F87" s="3" t="s">
        <v>371</v>
      </c>
      <c r="G87" s="3" t="s">
        <v>16</v>
      </c>
      <c r="H87" s="4" t="s">
        <v>49</v>
      </c>
      <c r="I87" s="3" t="s">
        <v>26</v>
      </c>
      <c r="J87" s="4" t="s">
        <v>19</v>
      </c>
    </row>
    <row r="88" spans="1:10" ht="15.9" customHeight="1" x14ac:dyDescent="0.3">
      <c r="A88" s="1" t="s">
        <v>372</v>
      </c>
      <c r="B88" s="2" t="s">
        <v>290</v>
      </c>
      <c r="C88" s="2"/>
      <c r="D88" s="2" t="s">
        <v>373</v>
      </c>
      <c r="E88" s="2" t="s">
        <v>374</v>
      </c>
      <c r="F88" s="1" t="s">
        <v>204</v>
      </c>
      <c r="G88" s="1" t="s">
        <v>111</v>
      </c>
      <c r="H88" s="2" t="s">
        <v>42</v>
      </c>
      <c r="I88" s="1" t="s">
        <v>112</v>
      </c>
      <c r="J88" s="2" t="s">
        <v>27</v>
      </c>
    </row>
    <row r="89" spans="1:10" ht="15.9" customHeight="1" x14ac:dyDescent="0.3">
      <c r="A89" s="3" t="s">
        <v>375</v>
      </c>
      <c r="B89" s="4" t="s">
        <v>68</v>
      </c>
      <c r="C89" s="4" t="s">
        <v>22</v>
      </c>
      <c r="D89" s="4" t="s">
        <v>30</v>
      </c>
      <c r="E89" s="4" t="s">
        <v>376</v>
      </c>
      <c r="F89" s="3" t="s">
        <v>377</v>
      </c>
      <c r="G89" s="3" t="s">
        <v>33</v>
      </c>
      <c r="H89" s="4" t="s">
        <v>17</v>
      </c>
      <c r="I89" s="3" t="s">
        <v>216</v>
      </c>
      <c r="J89" s="4"/>
    </row>
    <row r="90" spans="1:10" ht="15.9" customHeight="1" x14ac:dyDescent="0.3">
      <c r="A90" s="1" t="s">
        <v>378</v>
      </c>
      <c r="B90" s="2" t="s">
        <v>11</v>
      </c>
      <c r="C90" s="2" t="s">
        <v>62</v>
      </c>
      <c r="D90" s="2"/>
      <c r="E90" s="2"/>
      <c r="F90" s="1" t="s">
        <v>379</v>
      </c>
      <c r="G90" s="1" t="s">
        <v>41</v>
      </c>
      <c r="H90" s="2" t="s">
        <v>49</v>
      </c>
      <c r="I90" s="1" t="s">
        <v>73</v>
      </c>
      <c r="J90" s="2" t="s">
        <v>91</v>
      </c>
    </row>
    <row r="91" spans="1:10" ht="15.9" customHeight="1" x14ac:dyDescent="0.3">
      <c r="A91" s="3" t="s">
        <v>380</v>
      </c>
      <c r="B91" s="4" t="s">
        <v>381</v>
      </c>
      <c r="C91" s="4"/>
      <c r="D91" s="4" t="s">
        <v>382</v>
      </c>
      <c r="E91" s="4"/>
      <c r="F91" s="3" t="s">
        <v>78</v>
      </c>
      <c r="G91" s="3" t="s">
        <v>142</v>
      </c>
      <c r="H91" s="4"/>
      <c r="I91" s="3" t="s">
        <v>50</v>
      </c>
      <c r="J91" s="4"/>
    </row>
    <row r="92" spans="1:10" ht="15.9" customHeight="1" x14ac:dyDescent="0.3">
      <c r="A92" s="1" t="s">
        <v>383</v>
      </c>
      <c r="B92" s="2" t="s">
        <v>93</v>
      </c>
      <c r="C92" s="2" t="s">
        <v>22</v>
      </c>
      <c r="D92" s="2" t="s">
        <v>384</v>
      </c>
      <c r="E92" s="2" t="s">
        <v>30</v>
      </c>
      <c r="F92" s="1" t="s">
        <v>385</v>
      </c>
      <c r="G92" s="1" t="s">
        <v>142</v>
      </c>
      <c r="H92" s="2" t="s">
        <v>65</v>
      </c>
      <c r="I92" s="1" t="s">
        <v>73</v>
      </c>
      <c r="J92" s="2" t="s">
        <v>34</v>
      </c>
    </row>
    <row r="93" spans="1:10" ht="15.9" customHeight="1" x14ac:dyDescent="0.3">
      <c r="A93" s="3" t="s">
        <v>386</v>
      </c>
      <c r="B93" s="4" t="s">
        <v>102</v>
      </c>
      <c r="C93" s="4" t="s">
        <v>22</v>
      </c>
      <c r="D93" s="4" t="s">
        <v>387</v>
      </c>
      <c r="E93" s="4" t="s">
        <v>388</v>
      </c>
      <c r="F93" s="3" t="s">
        <v>389</v>
      </c>
      <c r="G93" s="3" t="s">
        <v>48</v>
      </c>
      <c r="H93" s="4" t="s">
        <v>25</v>
      </c>
      <c r="I93" s="3" t="s">
        <v>50</v>
      </c>
      <c r="J93" s="4" t="s">
        <v>51</v>
      </c>
    </row>
    <row r="94" spans="1:10" ht="15.9" customHeight="1" x14ac:dyDescent="0.3">
      <c r="A94" s="1" t="s">
        <v>390</v>
      </c>
      <c r="B94" s="2" t="s">
        <v>303</v>
      </c>
      <c r="C94" s="2" t="s">
        <v>12</v>
      </c>
      <c r="D94" s="2" t="s">
        <v>391</v>
      </c>
      <c r="E94" s="2" t="s">
        <v>136</v>
      </c>
      <c r="F94" s="1" t="s">
        <v>392</v>
      </c>
      <c r="G94" s="1" t="s">
        <v>33</v>
      </c>
      <c r="H94" s="2" t="s">
        <v>25</v>
      </c>
      <c r="I94" s="1" t="s">
        <v>50</v>
      </c>
      <c r="J94" s="2" t="s">
        <v>34</v>
      </c>
    </row>
    <row r="95" spans="1:10" ht="15.9" customHeight="1" x14ac:dyDescent="0.3">
      <c r="A95" s="3" t="s">
        <v>393</v>
      </c>
      <c r="B95" s="4" t="s">
        <v>114</v>
      </c>
      <c r="C95" s="4" t="s">
        <v>22</v>
      </c>
      <c r="D95" s="4" t="s">
        <v>394</v>
      </c>
      <c r="E95" s="4" t="s">
        <v>395</v>
      </c>
      <c r="F95" s="3" t="s">
        <v>396</v>
      </c>
      <c r="G95" s="3" t="s">
        <v>41</v>
      </c>
      <c r="H95" s="4" t="s">
        <v>65</v>
      </c>
      <c r="I95" s="3" t="s">
        <v>18</v>
      </c>
      <c r="J95" s="4" t="s">
        <v>19</v>
      </c>
    </row>
    <row r="96" spans="1:10" ht="15.9" customHeight="1" x14ac:dyDescent="0.3">
      <c r="A96" s="1" t="s">
        <v>397</v>
      </c>
      <c r="B96" s="2" t="s">
        <v>61</v>
      </c>
      <c r="C96" s="2" t="s">
        <v>37</v>
      </c>
      <c r="D96" s="2"/>
      <c r="E96" s="2" t="s">
        <v>398</v>
      </c>
      <c r="F96" s="1" t="s">
        <v>399</v>
      </c>
      <c r="G96" s="1" t="s">
        <v>41</v>
      </c>
      <c r="H96" s="2" t="s">
        <v>125</v>
      </c>
      <c r="I96" s="1" t="s">
        <v>73</v>
      </c>
      <c r="J96" s="2" t="s">
        <v>66</v>
      </c>
    </row>
    <row r="97" spans="1:10" ht="15.9" customHeight="1" x14ac:dyDescent="0.3">
      <c r="A97" s="3" t="s">
        <v>400</v>
      </c>
      <c r="B97" s="4" t="s">
        <v>29</v>
      </c>
      <c r="C97" s="4" t="s">
        <v>37</v>
      </c>
      <c r="D97" s="4" t="s">
        <v>401</v>
      </c>
      <c r="E97" s="4" t="s">
        <v>30</v>
      </c>
      <c r="F97" s="3" t="s">
        <v>105</v>
      </c>
      <c r="G97" s="3" t="s">
        <v>41</v>
      </c>
      <c r="H97" s="4"/>
      <c r="I97" s="3" t="s">
        <v>18</v>
      </c>
      <c r="J97" s="4" t="s">
        <v>106</v>
      </c>
    </row>
    <row r="98" spans="1:10" ht="15.9" customHeight="1" x14ac:dyDescent="0.3">
      <c r="A98" s="1" t="s">
        <v>402</v>
      </c>
      <c r="B98" s="2" t="s">
        <v>153</v>
      </c>
      <c r="C98" s="2" t="s">
        <v>62</v>
      </c>
      <c r="D98" s="2" t="s">
        <v>403</v>
      </c>
      <c r="E98" s="2" t="s">
        <v>404</v>
      </c>
      <c r="F98" s="1" t="s">
        <v>405</v>
      </c>
      <c r="G98" s="1" t="s">
        <v>142</v>
      </c>
      <c r="H98" s="2"/>
      <c r="I98" s="1" t="s">
        <v>216</v>
      </c>
      <c r="J98" s="2" t="s">
        <v>19</v>
      </c>
    </row>
    <row r="99" spans="1:10" ht="15.9" customHeight="1" x14ac:dyDescent="0.3">
      <c r="A99" s="3" t="s">
        <v>406</v>
      </c>
      <c r="B99" s="4" t="s">
        <v>165</v>
      </c>
      <c r="C99" s="4" t="s">
        <v>62</v>
      </c>
      <c r="D99" s="4" t="s">
        <v>407</v>
      </c>
      <c r="E99" s="4" t="s">
        <v>408</v>
      </c>
      <c r="F99" s="3" t="s">
        <v>409</v>
      </c>
      <c r="G99" s="3" t="s">
        <v>142</v>
      </c>
      <c r="H99" s="4" t="s">
        <v>65</v>
      </c>
      <c r="I99" s="3" t="s">
        <v>73</v>
      </c>
      <c r="J99" s="4" t="s">
        <v>51</v>
      </c>
    </row>
    <row r="100" spans="1:10" ht="15.9" customHeight="1" x14ac:dyDescent="0.3">
      <c r="A100" s="1" t="s">
        <v>410</v>
      </c>
      <c r="B100" s="2" t="s">
        <v>36</v>
      </c>
      <c r="C100" s="2" t="s">
        <v>62</v>
      </c>
      <c r="D100" s="2" t="s">
        <v>411</v>
      </c>
      <c r="E100" s="2"/>
      <c r="F100" s="1" t="s">
        <v>412</v>
      </c>
      <c r="G100" s="1" t="s">
        <v>111</v>
      </c>
      <c r="H100" s="2" t="s">
        <v>42</v>
      </c>
      <c r="I100" s="1" t="s">
        <v>26</v>
      </c>
      <c r="J100" s="2" t="s">
        <v>91</v>
      </c>
    </row>
    <row r="101" spans="1:10" ht="15.9" customHeight="1" x14ac:dyDescent="0.3">
      <c r="A101" s="3" t="s">
        <v>413</v>
      </c>
      <c r="B101" s="4" t="s">
        <v>184</v>
      </c>
      <c r="C101" s="4" t="s">
        <v>12</v>
      </c>
      <c r="D101" s="4" t="s">
        <v>414</v>
      </c>
      <c r="E101" s="4" t="s">
        <v>415</v>
      </c>
      <c r="F101" s="3" t="s">
        <v>416</v>
      </c>
      <c r="G101" s="3" t="s">
        <v>142</v>
      </c>
      <c r="H101" s="4" t="s">
        <v>42</v>
      </c>
      <c r="I101" s="3" t="s">
        <v>112</v>
      </c>
      <c r="J101" s="4" t="s">
        <v>91</v>
      </c>
    </row>
    <row r="102" spans="1:10" ht="15.9" customHeight="1" x14ac:dyDescent="0.3">
      <c r="A102" s="1" t="s">
        <v>417</v>
      </c>
      <c r="B102" s="2" t="s">
        <v>36</v>
      </c>
      <c r="C102" s="2"/>
      <c r="D102" s="2" t="s">
        <v>418</v>
      </c>
      <c r="E102" s="2" t="s">
        <v>31</v>
      </c>
      <c r="F102" s="1" t="s">
        <v>419</v>
      </c>
      <c r="G102" s="1" t="s">
        <v>16</v>
      </c>
      <c r="H102" s="2" t="s">
        <v>17</v>
      </c>
      <c r="I102" s="1" t="s">
        <v>216</v>
      </c>
      <c r="J102" s="2" t="s">
        <v>66</v>
      </c>
    </row>
    <row r="103" spans="1:10" ht="15.9" customHeight="1" x14ac:dyDescent="0.3">
      <c r="A103" s="3" t="s">
        <v>420</v>
      </c>
      <c r="B103" s="4" t="s">
        <v>36</v>
      </c>
      <c r="C103" s="4" t="s">
        <v>37</v>
      </c>
      <c r="D103" s="4" t="s">
        <v>421</v>
      </c>
      <c r="E103" s="4" t="s">
        <v>422</v>
      </c>
      <c r="F103" s="3" t="s">
        <v>423</v>
      </c>
      <c r="G103" s="3" t="s">
        <v>111</v>
      </c>
      <c r="H103" s="4" t="s">
        <v>25</v>
      </c>
      <c r="I103" s="3"/>
      <c r="J103" s="4" t="s">
        <v>19</v>
      </c>
    </row>
    <row r="104" spans="1:10" ht="15.9" customHeight="1" x14ac:dyDescent="0.3">
      <c r="A104" s="1" t="s">
        <v>424</v>
      </c>
      <c r="B104" s="2" t="s">
        <v>298</v>
      </c>
      <c r="C104" s="2" t="s">
        <v>12</v>
      </c>
      <c r="D104" s="2" t="s">
        <v>425</v>
      </c>
      <c r="E104" s="2" t="s">
        <v>340</v>
      </c>
      <c r="F104" s="1" t="s">
        <v>426</v>
      </c>
      <c r="G104" s="1" t="s">
        <v>111</v>
      </c>
      <c r="H104" s="2" t="s">
        <v>17</v>
      </c>
      <c r="I104" s="1"/>
      <c r="J104" s="2" t="s">
        <v>19</v>
      </c>
    </row>
    <row r="105" spans="1:10" ht="15.9" customHeight="1" x14ac:dyDescent="0.3">
      <c r="A105" s="3" t="s">
        <v>427</v>
      </c>
      <c r="B105" s="4" t="s">
        <v>44</v>
      </c>
      <c r="C105" s="4" t="s">
        <v>62</v>
      </c>
      <c r="D105" s="4" t="s">
        <v>428</v>
      </c>
      <c r="E105" s="4" t="s">
        <v>199</v>
      </c>
      <c r="F105" s="3" t="s">
        <v>429</v>
      </c>
      <c r="G105" s="3" t="s">
        <v>41</v>
      </c>
      <c r="H105" s="4" t="s">
        <v>42</v>
      </c>
      <c r="I105" s="3" t="s">
        <v>26</v>
      </c>
      <c r="J105" s="4"/>
    </row>
    <row r="106" spans="1:10" ht="15.9" customHeight="1" x14ac:dyDescent="0.3">
      <c r="A106" s="1" t="s">
        <v>430</v>
      </c>
      <c r="B106" s="2" t="s">
        <v>102</v>
      </c>
      <c r="C106" s="2"/>
      <c r="D106" s="2" t="s">
        <v>431</v>
      </c>
      <c r="E106" s="2" t="s">
        <v>432</v>
      </c>
      <c r="F106" s="1" t="s">
        <v>433</v>
      </c>
      <c r="G106" s="1" t="s">
        <v>33</v>
      </c>
      <c r="H106" s="2" t="s">
        <v>42</v>
      </c>
      <c r="I106" s="1" t="s">
        <v>26</v>
      </c>
      <c r="J106" s="2" t="s">
        <v>143</v>
      </c>
    </row>
    <row r="107" spans="1:10" ht="15.9" customHeight="1" x14ac:dyDescent="0.3">
      <c r="A107" s="3" t="s">
        <v>434</v>
      </c>
      <c r="B107" s="4" t="s">
        <v>21</v>
      </c>
      <c r="C107" s="4" t="s">
        <v>12</v>
      </c>
      <c r="D107" s="4" t="s">
        <v>435</v>
      </c>
      <c r="E107" s="4" t="s">
        <v>436</v>
      </c>
      <c r="F107" s="3" t="s">
        <v>437</v>
      </c>
      <c r="G107" s="3" t="s">
        <v>16</v>
      </c>
      <c r="H107" s="4" t="s">
        <v>25</v>
      </c>
      <c r="I107" s="3" t="s">
        <v>216</v>
      </c>
      <c r="J107" s="4" t="s">
        <v>91</v>
      </c>
    </row>
    <row r="108" spans="1:10" ht="15.9" customHeight="1" x14ac:dyDescent="0.3">
      <c r="A108" s="1" t="s">
        <v>438</v>
      </c>
      <c r="B108" s="2" t="s">
        <v>193</v>
      </c>
      <c r="C108" s="2"/>
      <c r="D108" s="2" t="s">
        <v>439</v>
      </c>
      <c r="E108" s="2" t="s">
        <v>440</v>
      </c>
      <c r="F108" s="1" t="s">
        <v>441</v>
      </c>
      <c r="G108" s="1" t="s">
        <v>16</v>
      </c>
      <c r="H108" s="2" t="s">
        <v>49</v>
      </c>
      <c r="I108" s="1" t="s">
        <v>216</v>
      </c>
      <c r="J108" s="2" t="s">
        <v>143</v>
      </c>
    </row>
    <row r="109" spans="1:10" ht="15.9" customHeight="1" x14ac:dyDescent="0.3">
      <c r="A109" s="3" t="s">
        <v>442</v>
      </c>
      <c r="B109" s="4" t="s">
        <v>290</v>
      </c>
      <c r="C109" s="4" t="s">
        <v>62</v>
      </c>
      <c r="D109" s="4"/>
      <c r="E109" s="4" t="s">
        <v>443</v>
      </c>
      <c r="F109" s="3" t="s">
        <v>441</v>
      </c>
      <c r="G109" s="3" t="s">
        <v>48</v>
      </c>
      <c r="H109" s="4" t="s">
        <v>25</v>
      </c>
      <c r="I109" s="3" t="s">
        <v>216</v>
      </c>
      <c r="J109" s="4" t="s">
        <v>34</v>
      </c>
    </row>
    <row r="110" spans="1:10" ht="15.9" customHeight="1" x14ac:dyDescent="0.3">
      <c r="A110" s="1" t="s">
        <v>444</v>
      </c>
      <c r="B110" s="2" t="s">
        <v>118</v>
      </c>
      <c r="C110" s="2" t="s">
        <v>22</v>
      </c>
      <c r="D110" s="2" t="s">
        <v>445</v>
      </c>
      <c r="E110" s="2" t="s">
        <v>446</v>
      </c>
      <c r="F110" s="1" t="s">
        <v>447</v>
      </c>
      <c r="G110" s="1" t="s">
        <v>41</v>
      </c>
      <c r="H110" s="2" t="s">
        <v>125</v>
      </c>
      <c r="I110" s="1" t="s">
        <v>50</v>
      </c>
      <c r="J110" s="2"/>
    </row>
    <row r="111" spans="1:10" ht="15.9" customHeight="1" x14ac:dyDescent="0.3">
      <c r="A111" s="3" t="s">
        <v>448</v>
      </c>
      <c r="B111" s="4" t="s">
        <v>61</v>
      </c>
      <c r="C111" s="4"/>
      <c r="D111" s="4" t="s">
        <v>449</v>
      </c>
      <c r="E111" s="4" t="s">
        <v>450</v>
      </c>
      <c r="F111" s="3" t="s">
        <v>40</v>
      </c>
      <c r="G111" s="3" t="s">
        <v>142</v>
      </c>
      <c r="H111" s="4" t="s">
        <v>125</v>
      </c>
      <c r="I111" s="3" t="s">
        <v>73</v>
      </c>
      <c r="J111" s="4" t="s">
        <v>106</v>
      </c>
    </row>
    <row r="112" spans="1:10" ht="15.9" customHeight="1" x14ac:dyDescent="0.3">
      <c r="A112" s="1" t="s">
        <v>451</v>
      </c>
      <c r="B112" s="2" t="s">
        <v>227</v>
      </c>
      <c r="C112" s="2" t="s">
        <v>22</v>
      </c>
      <c r="D112" s="2" t="s">
        <v>452</v>
      </c>
      <c r="E112" s="2" t="s">
        <v>30</v>
      </c>
      <c r="F112" s="1" t="s">
        <v>453</v>
      </c>
      <c r="G112" s="1" t="s">
        <v>33</v>
      </c>
      <c r="H112" s="2" t="s">
        <v>49</v>
      </c>
      <c r="I112" s="1" t="s">
        <v>73</v>
      </c>
      <c r="J112" s="2" t="s">
        <v>143</v>
      </c>
    </row>
    <row r="113" spans="1:10" ht="15.9" customHeight="1" x14ac:dyDescent="0.3">
      <c r="A113" s="3" t="s">
        <v>454</v>
      </c>
      <c r="B113" s="4" t="s">
        <v>202</v>
      </c>
      <c r="C113" s="4" t="s">
        <v>62</v>
      </c>
      <c r="D113" s="4"/>
      <c r="E113" s="4" t="s">
        <v>455</v>
      </c>
      <c r="F113" s="3" t="s">
        <v>377</v>
      </c>
      <c r="G113" s="3" t="s">
        <v>142</v>
      </c>
      <c r="H113" s="4" t="s">
        <v>65</v>
      </c>
      <c r="I113" s="3" t="s">
        <v>73</v>
      </c>
      <c r="J113" s="4" t="s">
        <v>106</v>
      </c>
    </row>
    <row r="114" spans="1:10" ht="15.9" customHeight="1" x14ac:dyDescent="0.3">
      <c r="A114" s="1" t="s">
        <v>456</v>
      </c>
      <c r="B114" s="2" t="s">
        <v>165</v>
      </c>
      <c r="C114" s="2" t="s">
        <v>37</v>
      </c>
      <c r="D114" s="2"/>
      <c r="E114" s="2"/>
      <c r="F114" s="1" t="s">
        <v>457</v>
      </c>
      <c r="G114" s="1" t="s">
        <v>79</v>
      </c>
      <c r="H114" s="2" t="s">
        <v>42</v>
      </c>
      <c r="I114" s="1" t="s">
        <v>26</v>
      </c>
      <c r="J114" s="2" t="s">
        <v>143</v>
      </c>
    </row>
    <row r="115" spans="1:10" ht="15.9" customHeight="1" x14ac:dyDescent="0.3">
      <c r="A115" s="3" t="s">
        <v>458</v>
      </c>
      <c r="B115" s="4" t="s">
        <v>298</v>
      </c>
      <c r="C115" s="4" t="s">
        <v>62</v>
      </c>
      <c r="D115" s="4" t="s">
        <v>459</v>
      </c>
      <c r="E115" s="4" t="s">
        <v>460</v>
      </c>
      <c r="F115" s="3" t="s">
        <v>461</v>
      </c>
      <c r="G115" s="3" t="s">
        <v>142</v>
      </c>
      <c r="H115" s="4"/>
      <c r="I115" s="3" t="s">
        <v>50</v>
      </c>
      <c r="J115" s="4" t="s">
        <v>34</v>
      </c>
    </row>
    <row r="116" spans="1:10" ht="15.9" customHeight="1" x14ac:dyDescent="0.3">
      <c r="A116" s="1" t="s">
        <v>462</v>
      </c>
      <c r="B116" s="2" t="s">
        <v>463</v>
      </c>
      <c r="C116" s="2"/>
      <c r="D116" s="2" t="s">
        <v>464</v>
      </c>
      <c r="E116" s="2" t="s">
        <v>465</v>
      </c>
      <c r="F116" s="1" t="s">
        <v>466</v>
      </c>
      <c r="G116" s="1" t="s">
        <v>111</v>
      </c>
      <c r="H116" s="2"/>
      <c r="I116" s="1" t="s">
        <v>50</v>
      </c>
      <c r="J116" s="2" t="s">
        <v>66</v>
      </c>
    </row>
    <row r="117" spans="1:10" ht="15.9" customHeight="1" x14ac:dyDescent="0.3">
      <c r="A117" s="3" t="s">
        <v>467</v>
      </c>
      <c r="B117" s="4" t="s">
        <v>354</v>
      </c>
      <c r="C117" s="4"/>
      <c r="D117" s="4" t="s">
        <v>468</v>
      </c>
      <c r="E117" s="4" t="s">
        <v>469</v>
      </c>
      <c r="F117" s="3" t="s">
        <v>255</v>
      </c>
      <c r="G117" s="3" t="s">
        <v>79</v>
      </c>
      <c r="H117" s="4" t="s">
        <v>42</v>
      </c>
      <c r="I117" s="3" t="s">
        <v>112</v>
      </c>
      <c r="J117" s="4" t="s">
        <v>51</v>
      </c>
    </row>
    <row r="118" spans="1:10" ht="15.9" customHeight="1" x14ac:dyDescent="0.3">
      <c r="A118" s="1" t="s">
        <v>470</v>
      </c>
      <c r="B118" s="2" t="s">
        <v>29</v>
      </c>
      <c r="C118" s="2" t="s">
        <v>45</v>
      </c>
      <c r="D118" s="2" t="s">
        <v>471</v>
      </c>
      <c r="E118" s="2" t="s">
        <v>374</v>
      </c>
      <c r="F118" s="1" t="s">
        <v>472</v>
      </c>
      <c r="G118" s="1" t="s">
        <v>41</v>
      </c>
      <c r="H118" s="2" t="s">
        <v>25</v>
      </c>
      <c r="I118" s="1" t="s">
        <v>18</v>
      </c>
      <c r="J118" s="2" t="s">
        <v>19</v>
      </c>
    </row>
    <row r="119" spans="1:10" ht="15.9" customHeight="1" x14ac:dyDescent="0.3">
      <c r="A119" s="3" t="s">
        <v>473</v>
      </c>
      <c r="B119" s="4" t="s">
        <v>184</v>
      </c>
      <c r="C119" s="4"/>
      <c r="D119" s="4" t="s">
        <v>474</v>
      </c>
      <c r="E119" s="4" t="s">
        <v>475</v>
      </c>
      <c r="F119" s="3" t="s">
        <v>315</v>
      </c>
      <c r="G119" s="3" t="s">
        <v>48</v>
      </c>
      <c r="H119" s="4" t="s">
        <v>49</v>
      </c>
      <c r="I119" s="3" t="s">
        <v>26</v>
      </c>
      <c r="J119" s="4" t="s">
        <v>51</v>
      </c>
    </row>
    <row r="120" spans="1:10" ht="15.9" customHeight="1" x14ac:dyDescent="0.3">
      <c r="A120" s="1" t="s">
        <v>476</v>
      </c>
      <c r="B120" s="2" t="s">
        <v>134</v>
      </c>
      <c r="C120" s="2" t="s">
        <v>12</v>
      </c>
      <c r="D120" s="2"/>
      <c r="E120" s="2"/>
      <c r="F120" s="1" t="s">
        <v>477</v>
      </c>
      <c r="G120" s="1" t="s">
        <v>16</v>
      </c>
      <c r="H120" s="2"/>
      <c r="I120" s="1"/>
      <c r="J120" s="2" t="s">
        <v>19</v>
      </c>
    </row>
    <row r="121" spans="1:10" ht="15.9" customHeight="1" x14ac:dyDescent="0.3">
      <c r="A121" s="3" t="s">
        <v>478</v>
      </c>
      <c r="B121" s="4" t="s">
        <v>275</v>
      </c>
      <c r="C121" s="4" t="s">
        <v>12</v>
      </c>
      <c r="D121" s="4" t="s">
        <v>479</v>
      </c>
      <c r="E121" s="4" t="s">
        <v>480</v>
      </c>
      <c r="F121" s="3" t="s">
        <v>481</v>
      </c>
      <c r="G121" s="3" t="s">
        <v>33</v>
      </c>
      <c r="H121" s="4"/>
      <c r="I121" s="3" t="s">
        <v>216</v>
      </c>
      <c r="J121" s="4"/>
    </row>
    <row r="122" spans="1:10" ht="15.9" customHeight="1" x14ac:dyDescent="0.3">
      <c r="A122" s="1" t="s">
        <v>482</v>
      </c>
      <c r="B122" s="2" t="s">
        <v>44</v>
      </c>
      <c r="C122" s="2"/>
      <c r="D122" s="2" t="s">
        <v>483</v>
      </c>
      <c r="E122" s="2" t="s">
        <v>484</v>
      </c>
      <c r="F122" s="1" t="s">
        <v>485</v>
      </c>
      <c r="G122" s="1" t="s">
        <v>33</v>
      </c>
      <c r="H122" s="2"/>
      <c r="I122" s="1" t="s">
        <v>73</v>
      </c>
      <c r="J122" s="2"/>
    </row>
    <row r="123" spans="1:10" ht="15.9" customHeight="1" x14ac:dyDescent="0.3">
      <c r="A123" s="3" t="s">
        <v>486</v>
      </c>
      <c r="B123" s="4" t="s">
        <v>303</v>
      </c>
      <c r="C123" s="4"/>
      <c r="D123" s="4" t="s">
        <v>487</v>
      </c>
      <c r="E123" s="4" t="s">
        <v>488</v>
      </c>
      <c r="F123" s="3" t="s">
        <v>377</v>
      </c>
      <c r="G123" s="3" t="s">
        <v>54</v>
      </c>
      <c r="H123" s="4"/>
      <c r="I123" s="3"/>
      <c r="J123" s="4" t="s">
        <v>34</v>
      </c>
    </row>
    <row r="124" spans="1:10" ht="15.9" customHeight="1" x14ac:dyDescent="0.3">
      <c r="A124" s="1" t="s">
        <v>489</v>
      </c>
      <c r="B124" s="2" t="s">
        <v>108</v>
      </c>
      <c r="C124" s="2"/>
      <c r="D124" s="2" t="s">
        <v>490</v>
      </c>
      <c r="E124" s="2" t="s">
        <v>491</v>
      </c>
      <c r="F124" s="1" t="s">
        <v>492</v>
      </c>
      <c r="G124" s="1" t="s">
        <v>54</v>
      </c>
      <c r="H124" s="2" t="s">
        <v>17</v>
      </c>
      <c r="I124" s="1" t="s">
        <v>216</v>
      </c>
      <c r="J124" s="2" t="s">
        <v>66</v>
      </c>
    </row>
    <row r="125" spans="1:10" ht="15.9" customHeight="1" x14ac:dyDescent="0.3">
      <c r="A125" s="3" t="s">
        <v>493</v>
      </c>
      <c r="B125" s="4" t="s">
        <v>61</v>
      </c>
      <c r="C125" s="4" t="s">
        <v>22</v>
      </c>
      <c r="D125" s="4" t="s">
        <v>494</v>
      </c>
      <c r="E125" s="4" t="s">
        <v>30</v>
      </c>
      <c r="F125" s="3" t="s">
        <v>495</v>
      </c>
      <c r="G125" s="3" t="s">
        <v>41</v>
      </c>
      <c r="H125" s="4" t="s">
        <v>25</v>
      </c>
      <c r="I125" s="3"/>
      <c r="J125" s="4" t="s">
        <v>143</v>
      </c>
    </row>
    <row r="126" spans="1:10" ht="15.9" customHeight="1" x14ac:dyDescent="0.3">
      <c r="A126" s="1" t="s">
        <v>496</v>
      </c>
      <c r="B126" s="2" t="s">
        <v>61</v>
      </c>
      <c r="C126" s="2"/>
      <c r="D126" s="2" t="s">
        <v>497</v>
      </c>
      <c r="E126" s="2" t="s">
        <v>498</v>
      </c>
      <c r="F126" s="1" t="s">
        <v>499</v>
      </c>
      <c r="G126" s="1" t="s">
        <v>48</v>
      </c>
      <c r="H126" s="2" t="s">
        <v>125</v>
      </c>
      <c r="I126" s="1" t="s">
        <v>112</v>
      </c>
      <c r="J126" s="2"/>
    </row>
    <row r="127" spans="1:10" ht="15.9" customHeight="1" x14ac:dyDescent="0.3">
      <c r="A127" s="3" t="s">
        <v>500</v>
      </c>
      <c r="B127" s="4" t="s">
        <v>290</v>
      </c>
      <c r="C127" s="4" t="s">
        <v>45</v>
      </c>
      <c r="D127" s="4"/>
      <c r="E127" s="4" t="s">
        <v>30</v>
      </c>
      <c r="F127" s="3" t="s">
        <v>105</v>
      </c>
      <c r="G127" s="3" t="s">
        <v>79</v>
      </c>
      <c r="H127" s="4" t="s">
        <v>17</v>
      </c>
      <c r="I127" s="3"/>
      <c r="J127" s="4" t="s">
        <v>19</v>
      </c>
    </row>
    <row r="128" spans="1:10" ht="15.9" customHeight="1" x14ac:dyDescent="0.3">
      <c r="A128" s="1" t="s">
        <v>501</v>
      </c>
      <c r="B128" s="2" t="s">
        <v>114</v>
      </c>
      <c r="C128" s="2" t="s">
        <v>62</v>
      </c>
      <c r="D128" s="2" t="s">
        <v>502</v>
      </c>
      <c r="E128" s="2"/>
      <c r="F128" s="1" t="s">
        <v>503</v>
      </c>
      <c r="G128" s="1" t="s">
        <v>79</v>
      </c>
      <c r="H128" s="2"/>
      <c r="I128" s="1" t="s">
        <v>50</v>
      </c>
      <c r="J128" s="2"/>
    </row>
    <row r="129" spans="1:10" ht="15.9" customHeight="1" x14ac:dyDescent="0.3">
      <c r="A129" s="3" t="s">
        <v>504</v>
      </c>
      <c r="B129" s="4" t="s">
        <v>303</v>
      </c>
      <c r="C129" s="4" t="s">
        <v>119</v>
      </c>
      <c r="D129" s="4" t="s">
        <v>30</v>
      </c>
      <c r="E129" s="4" t="s">
        <v>248</v>
      </c>
      <c r="F129" s="3" t="s">
        <v>505</v>
      </c>
      <c r="G129" s="3" t="s">
        <v>16</v>
      </c>
      <c r="H129" s="4" t="s">
        <v>42</v>
      </c>
      <c r="I129" s="3" t="s">
        <v>26</v>
      </c>
      <c r="J129" s="4" t="s">
        <v>106</v>
      </c>
    </row>
    <row r="130" spans="1:10" ht="15.9" customHeight="1" x14ac:dyDescent="0.3">
      <c r="A130" s="1" t="s">
        <v>506</v>
      </c>
      <c r="B130" s="2" t="s">
        <v>75</v>
      </c>
      <c r="C130" s="2" t="s">
        <v>45</v>
      </c>
      <c r="D130" s="2" t="s">
        <v>507</v>
      </c>
      <c r="E130" s="2" t="s">
        <v>508</v>
      </c>
      <c r="F130" s="1" t="s">
        <v>509</v>
      </c>
      <c r="G130" s="1" t="s">
        <v>48</v>
      </c>
      <c r="H130" s="2" t="s">
        <v>65</v>
      </c>
      <c r="I130" s="1" t="s">
        <v>18</v>
      </c>
      <c r="J130" s="2"/>
    </row>
    <row r="131" spans="1:10" ht="15.9" customHeight="1" x14ac:dyDescent="0.3">
      <c r="A131" s="3" t="s">
        <v>510</v>
      </c>
      <c r="B131" s="4" t="s">
        <v>36</v>
      </c>
      <c r="C131" s="4"/>
      <c r="D131" s="4" t="s">
        <v>511</v>
      </c>
      <c r="E131" s="4" t="s">
        <v>512</v>
      </c>
      <c r="F131" s="3" t="s">
        <v>513</v>
      </c>
      <c r="G131" s="3" t="s">
        <v>142</v>
      </c>
      <c r="H131" s="4" t="s">
        <v>72</v>
      </c>
      <c r="I131" s="3" t="s">
        <v>18</v>
      </c>
      <c r="J131" s="4" t="s">
        <v>27</v>
      </c>
    </row>
    <row r="132" spans="1:10" ht="15.9" customHeight="1" x14ac:dyDescent="0.3">
      <c r="A132" s="1" t="s">
        <v>514</v>
      </c>
      <c r="B132" s="2" t="s">
        <v>11</v>
      </c>
      <c r="C132" s="2" t="s">
        <v>119</v>
      </c>
      <c r="D132" s="2" t="s">
        <v>515</v>
      </c>
      <c r="E132" s="2" t="s">
        <v>30</v>
      </c>
      <c r="F132" s="1" t="s">
        <v>301</v>
      </c>
      <c r="G132" s="1" t="s">
        <v>16</v>
      </c>
      <c r="H132" s="2" t="s">
        <v>42</v>
      </c>
      <c r="I132" s="1"/>
      <c r="J132" s="2" t="s">
        <v>19</v>
      </c>
    </row>
    <row r="133" spans="1:10" ht="15.9" customHeight="1" x14ac:dyDescent="0.3">
      <c r="A133" s="3" t="s">
        <v>516</v>
      </c>
      <c r="B133" s="4" t="s">
        <v>108</v>
      </c>
      <c r="C133" s="4" t="s">
        <v>119</v>
      </c>
      <c r="D133" s="4" t="s">
        <v>517</v>
      </c>
      <c r="E133" s="4" t="s">
        <v>518</v>
      </c>
      <c r="F133" s="3" t="s">
        <v>519</v>
      </c>
      <c r="G133" s="3" t="s">
        <v>16</v>
      </c>
      <c r="H133" s="4" t="s">
        <v>83</v>
      </c>
      <c r="I133" s="3" t="s">
        <v>26</v>
      </c>
      <c r="J133" s="4" t="s">
        <v>143</v>
      </c>
    </row>
    <row r="134" spans="1:10" ht="15.9" customHeight="1" x14ac:dyDescent="0.3">
      <c r="A134" s="1" t="s">
        <v>520</v>
      </c>
      <c r="B134" s="2" t="s">
        <v>169</v>
      </c>
      <c r="C134" s="2" t="s">
        <v>119</v>
      </c>
      <c r="D134" s="2" t="s">
        <v>521</v>
      </c>
      <c r="E134" s="2" t="s">
        <v>522</v>
      </c>
      <c r="F134" s="1" t="s">
        <v>523</v>
      </c>
      <c r="G134" s="1" t="s">
        <v>79</v>
      </c>
      <c r="H134" s="2" t="s">
        <v>42</v>
      </c>
      <c r="I134" s="1" t="s">
        <v>18</v>
      </c>
      <c r="J134" s="2"/>
    </row>
    <row r="135" spans="1:10" ht="15.9" customHeight="1" x14ac:dyDescent="0.3">
      <c r="A135" s="3" t="s">
        <v>524</v>
      </c>
      <c r="B135" s="4" t="s">
        <v>275</v>
      </c>
      <c r="C135" s="4" t="s">
        <v>45</v>
      </c>
      <c r="D135" s="4"/>
      <c r="E135" s="4" t="s">
        <v>525</v>
      </c>
      <c r="F135" s="3" t="s">
        <v>526</v>
      </c>
      <c r="G135" s="3" t="s">
        <v>142</v>
      </c>
      <c r="H135" s="4" t="s">
        <v>42</v>
      </c>
      <c r="I135" s="3" t="s">
        <v>18</v>
      </c>
      <c r="J135" s="4"/>
    </row>
    <row r="136" spans="1:10" ht="15.9" customHeight="1" x14ac:dyDescent="0.3">
      <c r="A136" s="1" t="s">
        <v>520</v>
      </c>
      <c r="B136" s="2" t="s">
        <v>61</v>
      </c>
      <c r="C136" s="2"/>
      <c r="D136" s="2" t="s">
        <v>30</v>
      </c>
      <c r="E136" s="2" t="s">
        <v>527</v>
      </c>
      <c r="F136" s="1" t="s">
        <v>110</v>
      </c>
      <c r="G136" s="1" t="s">
        <v>48</v>
      </c>
      <c r="H136" s="2" t="s">
        <v>65</v>
      </c>
      <c r="I136" s="1" t="s">
        <v>26</v>
      </c>
      <c r="J136" s="2" t="s">
        <v>91</v>
      </c>
    </row>
    <row r="137" spans="1:10" ht="15.9" customHeight="1" x14ac:dyDescent="0.3">
      <c r="A137" s="3" t="s">
        <v>528</v>
      </c>
      <c r="B137" s="4" t="s">
        <v>102</v>
      </c>
      <c r="C137" s="4"/>
      <c r="D137" s="4" t="s">
        <v>30</v>
      </c>
      <c r="E137" s="4" t="s">
        <v>529</v>
      </c>
      <c r="F137" s="3" t="s">
        <v>492</v>
      </c>
      <c r="G137" s="3" t="s">
        <v>54</v>
      </c>
      <c r="H137" s="4" t="s">
        <v>25</v>
      </c>
      <c r="I137" s="3" t="s">
        <v>18</v>
      </c>
      <c r="J137" s="4" t="s">
        <v>91</v>
      </c>
    </row>
    <row r="138" spans="1:10" ht="15.9" customHeight="1" x14ac:dyDescent="0.3">
      <c r="A138" s="1" t="s">
        <v>530</v>
      </c>
      <c r="B138" s="2" t="s">
        <v>153</v>
      </c>
      <c r="C138" s="2" t="s">
        <v>12</v>
      </c>
      <c r="D138" s="2" t="s">
        <v>531</v>
      </c>
      <c r="E138" s="2" t="s">
        <v>532</v>
      </c>
      <c r="F138" s="1" t="s">
        <v>273</v>
      </c>
      <c r="G138" s="1" t="s">
        <v>41</v>
      </c>
      <c r="H138" s="2" t="s">
        <v>72</v>
      </c>
      <c r="I138" s="1" t="s">
        <v>112</v>
      </c>
      <c r="J138" s="2" t="s">
        <v>106</v>
      </c>
    </row>
    <row r="139" spans="1:10" ht="15.9" customHeight="1" x14ac:dyDescent="0.3">
      <c r="A139" s="3" t="s">
        <v>533</v>
      </c>
      <c r="B139" s="4" t="s">
        <v>227</v>
      </c>
      <c r="C139" s="4" t="s">
        <v>22</v>
      </c>
      <c r="D139" s="4" t="s">
        <v>534</v>
      </c>
      <c r="E139" s="4" t="s">
        <v>535</v>
      </c>
      <c r="F139" s="3" t="s">
        <v>457</v>
      </c>
      <c r="G139" s="3" t="s">
        <v>48</v>
      </c>
      <c r="H139" s="4" t="s">
        <v>72</v>
      </c>
      <c r="I139" s="3" t="s">
        <v>112</v>
      </c>
      <c r="J139" s="4" t="s">
        <v>34</v>
      </c>
    </row>
    <row r="140" spans="1:10" ht="15.9" customHeight="1" x14ac:dyDescent="0.3">
      <c r="A140" s="1" t="s">
        <v>536</v>
      </c>
      <c r="B140" s="2" t="s">
        <v>44</v>
      </c>
      <c r="C140" s="2" t="s">
        <v>119</v>
      </c>
      <c r="D140" s="2" t="s">
        <v>537</v>
      </c>
      <c r="E140" s="2" t="s">
        <v>538</v>
      </c>
      <c r="F140" s="1" t="s">
        <v>539</v>
      </c>
      <c r="G140" s="1" t="s">
        <v>48</v>
      </c>
      <c r="H140" s="2" t="s">
        <v>83</v>
      </c>
      <c r="I140" s="1" t="s">
        <v>18</v>
      </c>
      <c r="J140" s="2" t="s">
        <v>51</v>
      </c>
    </row>
    <row r="141" spans="1:10" ht="15.9" customHeight="1" x14ac:dyDescent="0.3">
      <c r="A141" s="3" t="s">
        <v>540</v>
      </c>
      <c r="B141" s="4" t="s">
        <v>463</v>
      </c>
      <c r="C141" s="4" t="s">
        <v>12</v>
      </c>
      <c r="D141" s="4"/>
      <c r="E141" s="4" t="s">
        <v>30</v>
      </c>
      <c r="F141" s="3" t="s">
        <v>277</v>
      </c>
      <c r="G141" s="3" t="s">
        <v>48</v>
      </c>
      <c r="H141" s="4" t="s">
        <v>42</v>
      </c>
      <c r="I141" s="3" t="s">
        <v>50</v>
      </c>
      <c r="J141" s="4" t="s">
        <v>66</v>
      </c>
    </row>
    <row r="142" spans="1:10" ht="15.9" customHeight="1" x14ac:dyDescent="0.3">
      <c r="A142" s="1" t="s">
        <v>541</v>
      </c>
      <c r="B142" s="2" t="s">
        <v>342</v>
      </c>
      <c r="C142" s="2" t="s">
        <v>22</v>
      </c>
      <c r="D142" s="2" t="s">
        <v>542</v>
      </c>
      <c r="E142" s="2" t="s">
        <v>30</v>
      </c>
      <c r="F142" s="1" t="s">
        <v>543</v>
      </c>
      <c r="G142" s="1" t="s">
        <v>41</v>
      </c>
      <c r="H142" s="2" t="s">
        <v>25</v>
      </c>
      <c r="I142" s="1" t="s">
        <v>73</v>
      </c>
      <c r="J142" s="2" t="s">
        <v>19</v>
      </c>
    </row>
    <row r="143" spans="1:10" ht="15.9" customHeight="1" x14ac:dyDescent="0.3">
      <c r="A143" s="3" t="s">
        <v>264</v>
      </c>
      <c r="B143" s="4" t="s">
        <v>56</v>
      </c>
      <c r="C143" s="4" t="s">
        <v>12</v>
      </c>
      <c r="D143" s="4" t="s">
        <v>544</v>
      </c>
      <c r="E143" s="4" t="s">
        <v>30</v>
      </c>
      <c r="F143" s="3" t="s">
        <v>545</v>
      </c>
      <c r="G143" s="3" t="s">
        <v>142</v>
      </c>
      <c r="H143" s="4" t="s">
        <v>42</v>
      </c>
      <c r="I143" s="3" t="s">
        <v>18</v>
      </c>
      <c r="J143" s="4" t="s">
        <v>143</v>
      </c>
    </row>
    <row r="144" spans="1:10" ht="15.9" customHeight="1" x14ac:dyDescent="0.3">
      <c r="A144" s="1" t="s">
        <v>546</v>
      </c>
      <c r="B144" s="2" t="s">
        <v>275</v>
      </c>
      <c r="C144" s="2" t="s">
        <v>45</v>
      </c>
      <c r="D144" s="2" t="s">
        <v>547</v>
      </c>
      <c r="E144" s="2" t="s">
        <v>548</v>
      </c>
      <c r="F144" s="1" t="s">
        <v>549</v>
      </c>
      <c r="G144" s="1" t="s">
        <v>33</v>
      </c>
      <c r="H144" s="2" t="s">
        <v>65</v>
      </c>
      <c r="I144" s="1" t="s">
        <v>26</v>
      </c>
      <c r="J144" s="2"/>
    </row>
    <row r="145" spans="1:10" ht="15.9" customHeight="1" x14ac:dyDescent="0.3">
      <c r="A145" s="3" t="s">
        <v>550</v>
      </c>
      <c r="B145" s="4" t="s">
        <v>44</v>
      </c>
      <c r="C145" s="4" t="s">
        <v>119</v>
      </c>
      <c r="D145" s="4" t="s">
        <v>551</v>
      </c>
      <c r="E145" s="4" t="s">
        <v>552</v>
      </c>
      <c r="F145" s="3" t="s">
        <v>553</v>
      </c>
      <c r="G145" s="3" t="s">
        <v>48</v>
      </c>
      <c r="H145" s="4" t="s">
        <v>42</v>
      </c>
      <c r="I145" s="3" t="s">
        <v>216</v>
      </c>
      <c r="J145" s="4" t="s">
        <v>34</v>
      </c>
    </row>
    <row r="146" spans="1:10" ht="15.9" customHeight="1" x14ac:dyDescent="0.3">
      <c r="A146" s="1" t="s">
        <v>554</v>
      </c>
      <c r="B146" s="2" t="s">
        <v>134</v>
      </c>
      <c r="C146" s="2" t="s">
        <v>12</v>
      </c>
      <c r="D146" s="2" t="s">
        <v>555</v>
      </c>
      <c r="E146" s="2"/>
      <c r="F146" s="1" t="s">
        <v>556</v>
      </c>
      <c r="G146" s="1" t="s">
        <v>54</v>
      </c>
      <c r="H146" s="2" t="s">
        <v>125</v>
      </c>
      <c r="I146" s="1" t="s">
        <v>26</v>
      </c>
      <c r="J146" s="2" t="s">
        <v>66</v>
      </c>
    </row>
    <row r="147" spans="1:10" ht="15.9" customHeight="1" x14ac:dyDescent="0.3">
      <c r="A147" s="3" t="s">
        <v>557</v>
      </c>
      <c r="B147" s="4" t="s">
        <v>134</v>
      </c>
      <c r="C147" s="4" t="s">
        <v>62</v>
      </c>
      <c r="D147" s="4" t="s">
        <v>558</v>
      </c>
      <c r="E147" s="4" t="s">
        <v>559</v>
      </c>
      <c r="F147" s="3" t="s">
        <v>560</v>
      </c>
      <c r="G147" s="3" t="s">
        <v>33</v>
      </c>
      <c r="H147" s="4" t="s">
        <v>25</v>
      </c>
      <c r="I147" s="3" t="s">
        <v>112</v>
      </c>
      <c r="J147" s="4" t="s">
        <v>66</v>
      </c>
    </row>
    <row r="148" spans="1:10" ht="15.9" customHeight="1" x14ac:dyDescent="0.3">
      <c r="A148" s="1" t="s">
        <v>561</v>
      </c>
      <c r="B148" s="2" t="s">
        <v>56</v>
      </c>
      <c r="C148" s="2" t="s">
        <v>62</v>
      </c>
      <c r="D148" s="2" t="s">
        <v>562</v>
      </c>
      <c r="E148" s="2" t="s">
        <v>30</v>
      </c>
      <c r="F148" s="1" t="s">
        <v>563</v>
      </c>
      <c r="G148" s="1" t="s">
        <v>54</v>
      </c>
      <c r="H148" s="2" t="s">
        <v>72</v>
      </c>
      <c r="I148" s="1"/>
      <c r="J148" s="2" t="s">
        <v>27</v>
      </c>
    </row>
    <row r="149" spans="1:10" ht="15.9" customHeight="1" x14ac:dyDescent="0.3">
      <c r="A149" s="3" t="s">
        <v>564</v>
      </c>
      <c r="B149" s="4" t="s">
        <v>342</v>
      </c>
      <c r="C149" s="4" t="s">
        <v>12</v>
      </c>
      <c r="D149" s="4"/>
      <c r="E149" s="4" t="s">
        <v>30</v>
      </c>
      <c r="F149" s="3" t="s">
        <v>565</v>
      </c>
      <c r="G149" s="3" t="s">
        <v>111</v>
      </c>
      <c r="H149" s="4" t="s">
        <v>65</v>
      </c>
      <c r="I149" s="3" t="s">
        <v>112</v>
      </c>
      <c r="J149" s="4" t="s">
        <v>106</v>
      </c>
    </row>
    <row r="150" spans="1:10" ht="15.9" customHeight="1" x14ac:dyDescent="0.3">
      <c r="A150" s="1" t="s">
        <v>566</v>
      </c>
      <c r="B150" s="2" t="s">
        <v>21</v>
      </c>
      <c r="C150" s="2" t="s">
        <v>12</v>
      </c>
      <c r="D150" s="2"/>
      <c r="E150" s="2" t="s">
        <v>30</v>
      </c>
      <c r="F150" s="1" t="s">
        <v>293</v>
      </c>
      <c r="G150" s="1" t="s">
        <v>111</v>
      </c>
      <c r="H150" s="2" t="s">
        <v>125</v>
      </c>
      <c r="I150" s="1" t="s">
        <v>73</v>
      </c>
      <c r="J150" s="2" t="s">
        <v>51</v>
      </c>
    </row>
    <row r="151" spans="1:10" ht="15.9" customHeight="1" x14ac:dyDescent="0.3">
      <c r="A151" s="3" t="s">
        <v>567</v>
      </c>
      <c r="B151" s="4" t="s">
        <v>290</v>
      </c>
      <c r="C151" s="4" t="s">
        <v>37</v>
      </c>
      <c r="D151" s="4" t="s">
        <v>30</v>
      </c>
      <c r="E151" s="4" t="s">
        <v>140</v>
      </c>
      <c r="F151" s="3" t="s">
        <v>568</v>
      </c>
      <c r="G151" s="3" t="s">
        <v>79</v>
      </c>
      <c r="H151" s="4" t="s">
        <v>125</v>
      </c>
      <c r="I151" s="3" t="s">
        <v>18</v>
      </c>
      <c r="J151" s="4"/>
    </row>
    <row r="152" spans="1:10" ht="15.9" customHeight="1" x14ac:dyDescent="0.3">
      <c r="A152" s="1" t="s">
        <v>569</v>
      </c>
      <c r="B152" s="2" t="s">
        <v>165</v>
      </c>
      <c r="C152" s="2" t="s">
        <v>119</v>
      </c>
      <c r="D152" s="2" t="s">
        <v>570</v>
      </c>
      <c r="E152" s="2" t="s">
        <v>571</v>
      </c>
      <c r="F152" s="1" t="s">
        <v>572</v>
      </c>
      <c r="G152" s="1" t="s">
        <v>41</v>
      </c>
      <c r="H152" s="2" t="s">
        <v>65</v>
      </c>
      <c r="I152" s="1" t="s">
        <v>50</v>
      </c>
      <c r="J152" s="2" t="s">
        <v>19</v>
      </c>
    </row>
    <row r="153" spans="1:10" ht="15.9" customHeight="1" x14ac:dyDescent="0.3">
      <c r="A153" s="3" t="s">
        <v>573</v>
      </c>
      <c r="B153" s="4" t="s">
        <v>290</v>
      </c>
      <c r="C153" s="4" t="s">
        <v>62</v>
      </c>
      <c r="D153" s="4" t="s">
        <v>30</v>
      </c>
      <c r="E153" s="4" t="s">
        <v>574</v>
      </c>
      <c r="F153" s="3" t="s">
        <v>575</v>
      </c>
      <c r="G153" s="3" t="s">
        <v>48</v>
      </c>
      <c r="H153" s="4"/>
      <c r="I153" s="3" t="s">
        <v>26</v>
      </c>
      <c r="J153" s="4" t="s">
        <v>27</v>
      </c>
    </row>
    <row r="154" spans="1:10" ht="15.9" customHeight="1" x14ac:dyDescent="0.3">
      <c r="A154" s="1" t="s">
        <v>338</v>
      </c>
      <c r="B154" s="2" t="s">
        <v>44</v>
      </c>
      <c r="C154" s="2" t="s">
        <v>37</v>
      </c>
      <c r="D154" s="2"/>
      <c r="E154" s="2"/>
      <c r="F154" s="1" t="s">
        <v>576</v>
      </c>
      <c r="G154" s="1" t="s">
        <v>79</v>
      </c>
      <c r="H154" s="2" t="s">
        <v>72</v>
      </c>
      <c r="I154" s="1" t="s">
        <v>216</v>
      </c>
      <c r="J154" s="2" t="s">
        <v>27</v>
      </c>
    </row>
    <row r="155" spans="1:10" ht="15.9" customHeight="1" x14ac:dyDescent="0.3">
      <c r="A155" s="3" t="s">
        <v>577</v>
      </c>
      <c r="B155" s="4" t="s">
        <v>102</v>
      </c>
      <c r="C155" s="4" t="s">
        <v>12</v>
      </c>
      <c r="D155" s="4" t="s">
        <v>578</v>
      </c>
      <c r="E155" s="4" t="s">
        <v>30</v>
      </c>
      <c r="F155" s="3" t="s">
        <v>579</v>
      </c>
      <c r="G155" s="3" t="s">
        <v>79</v>
      </c>
      <c r="H155" s="4" t="s">
        <v>72</v>
      </c>
      <c r="I155" s="3" t="s">
        <v>216</v>
      </c>
      <c r="J155" s="4" t="s">
        <v>27</v>
      </c>
    </row>
    <row r="156" spans="1:10" ht="15.9" customHeight="1" x14ac:dyDescent="0.3">
      <c r="A156" s="1" t="s">
        <v>540</v>
      </c>
      <c r="B156" s="2" t="s">
        <v>157</v>
      </c>
      <c r="C156" s="2"/>
      <c r="D156" s="2" t="s">
        <v>30</v>
      </c>
      <c r="E156" s="2" t="s">
        <v>580</v>
      </c>
      <c r="F156" s="1" t="s">
        <v>219</v>
      </c>
      <c r="G156" s="1" t="s">
        <v>142</v>
      </c>
      <c r="H156" s="2"/>
      <c r="I156" s="1" t="s">
        <v>112</v>
      </c>
      <c r="J156" s="2" t="s">
        <v>106</v>
      </c>
    </row>
    <row r="157" spans="1:10" ht="15.9" customHeight="1" x14ac:dyDescent="0.3">
      <c r="A157" s="3" t="s">
        <v>581</v>
      </c>
      <c r="B157" s="4" t="s">
        <v>165</v>
      </c>
      <c r="C157" s="4" t="s">
        <v>45</v>
      </c>
      <c r="D157" s="4" t="s">
        <v>30</v>
      </c>
      <c r="E157" s="4"/>
      <c r="F157" s="3" t="s">
        <v>582</v>
      </c>
      <c r="G157" s="3" t="s">
        <v>111</v>
      </c>
      <c r="H157" s="4" t="s">
        <v>17</v>
      </c>
      <c r="I157" s="3" t="s">
        <v>216</v>
      </c>
      <c r="J157" s="4"/>
    </row>
    <row r="158" spans="1:10" ht="15.9" customHeight="1" x14ac:dyDescent="0.3">
      <c r="A158" s="1" t="s">
        <v>583</v>
      </c>
      <c r="B158" s="2" t="s">
        <v>149</v>
      </c>
      <c r="C158" s="2"/>
      <c r="D158" s="2"/>
      <c r="E158" s="2" t="s">
        <v>584</v>
      </c>
      <c r="F158" s="1" t="s">
        <v>273</v>
      </c>
      <c r="G158" s="1" t="s">
        <v>54</v>
      </c>
      <c r="H158" s="2" t="s">
        <v>72</v>
      </c>
      <c r="I158" s="1" t="s">
        <v>112</v>
      </c>
      <c r="J158" s="2" t="s">
        <v>51</v>
      </c>
    </row>
    <row r="159" spans="1:10" ht="15.9" customHeight="1" x14ac:dyDescent="0.3">
      <c r="A159" s="3" t="s">
        <v>585</v>
      </c>
      <c r="B159" s="4" t="s">
        <v>275</v>
      </c>
      <c r="C159" s="4" t="s">
        <v>62</v>
      </c>
      <c r="D159" s="4" t="s">
        <v>30</v>
      </c>
      <c r="E159" s="4"/>
      <c r="F159" s="3" t="s">
        <v>586</v>
      </c>
      <c r="G159" s="3" t="s">
        <v>142</v>
      </c>
      <c r="H159" s="4" t="s">
        <v>49</v>
      </c>
      <c r="I159" s="3" t="s">
        <v>26</v>
      </c>
      <c r="J159" s="4" t="s">
        <v>34</v>
      </c>
    </row>
    <row r="160" spans="1:10" ht="15.9" customHeight="1" x14ac:dyDescent="0.3">
      <c r="A160" s="1" t="s">
        <v>587</v>
      </c>
      <c r="B160" s="2" t="s">
        <v>88</v>
      </c>
      <c r="C160" s="2" t="s">
        <v>22</v>
      </c>
      <c r="D160" s="2" t="s">
        <v>30</v>
      </c>
      <c r="E160" s="2" t="s">
        <v>588</v>
      </c>
      <c r="F160" s="1" t="s">
        <v>575</v>
      </c>
      <c r="G160" s="1" t="s">
        <v>79</v>
      </c>
      <c r="H160" s="2" t="s">
        <v>42</v>
      </c>
      <c r="I160" s="1" t="s">
        <v>50</v>
      </c>
      <c r="J160" s="2" t="s">
        <v>51</v>
      </c>
    </row>
    <row r="161" spans="1:10" ht="15.9" customHeight="1" x14ac:dyDescent="0.3">
      <c r="A161" s="3" t="s">
        <v>589</v>
      </c>
      <c r="B161" s="4" t="s">
        <v>193</v>
      </c>
      <c r="C161" s="4" t="s">
        <v>22</v>
      </c>
      <c r="D161" s="4" t="s">
        <v>590</v>
      </c>
      <c r="E161" s="4" t="s">
        <v>404</v>
      </c>
      <c r="F161" s="3" t="s">
        <v>141</v>
      </c>
      <c r="G161" s="3" t="s">
        <v>142</v>
      </c>
      <c r="H161" s="4"/>
      <c r="I161" s="3" t="s">
        <v>73</v>
      </c>
      <c r="J161" s="4" t="s">
        <v>27</v>
      </c>
    </row>
    <row r="162" spans="1:10" ht="15.9" customHeight="1" x14ac:dyDescent="0.3">
      <c r="A162" s="1" t="s">
        <v>591</v>
      </c>
      <c r="B162" s="2" t="s">
        <v>21</v>
      </c>
      <c r="C162" s="2"/>
      <c r="D162" s="2" t="s">
        <v>30</v>
      </c>
      <c r="E162" s="2" t="s">
        <v>592</v>
      </c>
      <c r="F162" s="1" t="s">
        <v>296</v>
      </c>
      <c r="G162" s="1" t="s">
        <v>41</v>
      </c>
      <c r="H162" s="2"/>
      <c r="I162" s="1" t="s">
        <v>112</v>
      </c>
      <c r="J162" s="2" t="s">
        <v>51</v>
      </c>
    </row>
    <row r="163" spans="1:10" ht="15.9" customHeight="1" x14ac:dyDescent="0.3">
      <c r="A163" s="3" t="s">
        <v>593</v>
      </c>
      <c r="B163" s="4" t="s">
        <v>169</v>
      </c>
      <c r="C163" s="4"/>
      <c r="D163" s="4"/>
      <c r="E163" s="4" t="s">
        <v>594</v>
      </c>
      <c r="F163" s="3" t="s">
        <v>595</v>
      </c>
      <c r="G163" s="3" t="s">
        <v>79</v>
      </c>
      <c r="H163" s="4" t="s">
        <v>17</v>
      </c>
      <c r="I163" s="3" t="s">
        <v>50</v>
      </c>
      <c r="J163" s="4" t="s">
        <v>19</v>
      </c>
    </row>
    <row r="164" spans="1:10" ht="15.9" customHeight="1" x14ac:dyDescent="0.3">
      <c r="A164" s="1" t="s">
        <v>596</v>
      </c>
      <c r="B164" s="2" t="s">
        <v>597</v>
      </c>
      <c r="C164" s="2" t="s">
        <v>12</v>
      </c>
      <c r="D164" s="2" t="s">
        <v>30</v>
      </c>
      <c r="E164" s="2" t="s">
        <v>598</v>
      </c>
      <c r="F164" s="1" t="s">
        <v>599</v>
      </c>
      <c r="G164" s="1" t="s">
        <v>41</v>
      </c>
      <c r="H164" s="2" t="s">
        <v>65</v>
      </c>
      <c r="I164" s="1" t="s">
        <v>26</v>
      </c>
      <c r="J164" s="2" t="s">
        <v>27</v>
      </c>
    </row>
    <row r="165" spans="1:10" ht="15.9" customHeight="1" x14ac:dyDescent="0.3">
      <c r="A165" s="3" t="s">
        <v>600</v>
      </c>
      <c r="B165" s="4" t="s">
        <v>118</v>
      </c>
      <c r="C165" s="4"/>
      <c r="D165" s="4"/>
      <c r="E165" s="4"/>
      <c r="F165" s="3" t="s">
        <v>288</v>
      </c>
      <c r="G165" s="3" t="s">
        <v>48</v>
      </c>
      <c r="H165" s="4" t="s">
        <v>25</v>
      </c>
      <c r="I165" s="3" t="s">
        <v>73</v>
      </c>
      <c r="J165" s="4"/>
    </row>
    <row r="166" spans="1:10" ht="15.9" customHeight="1" x14ac:dyDescent="0.3">
      <c r="A166" s="1" t="s">
        <v>601</v>
      </c>
      <c r="B166" s="2" t="s">
        <v>44</v>
      </c>
      <c r="C166" s="2" t="s">
        <v>119</v>
      </c>
      <c r="D166" s="2"/>
      <c r="E166" s="2" t="s">
        <v>602</v>
      </c>
      <c r="F166" s="1" t="s">
        <v>603</v>
      </c>
      <c r="G166" s="1" t="s">
        <v>48</v>
      </c>
      <c r="H166" s="2" t="s">
        <v>72</v>
      </c>
      <c r="I166" s="1"/>
      <c r="J166" s="2" t="s">
        <v>91</v>
      </c>
    </row>
    <row r="167" spans="1:10" ht="15.9" customHeight="1" x14ac:dyDescent="0.3">
      <c r="A167" s="3" t="s">
        <v>604</v>
      </c>
      <c r="B167" s="4" t="s">
        <v>44</v>
      </c>
      <c r="C167" s="4" t="s">
        <v>37</v>
      </c>
      <c r="D167" s="4"/>
      <c r="E167" s="4" t="s">
        <v>605</v>
      </c>
      <c r="F167" s="3" t="s">
        <v>371</v>
      </c>
      <c r="G167" s="3" t="s">
        <v>79</v>
      </c>
      <c r="H167" s="4" t="s">
        <v>125</v>
      </c>
      <c r="I167" s="3" t="s">
        <v>18</v>
      </c>
      <c r="J167" s="4" t="s">
        <v>66</v>
      </c>
    </row>
    <row r="168" spans="1:10" ht="15.9" customHeight="1" x14ac:dyDescent="0.3">
      <c r="A168" s="1" t="s">
        <v>606</v>
      </c>
      <c r="B168" s="2" t="s">
        <v>298</v>
      </c>
      <c r="C168" s="2" t="s">
        <v>45</v>
      </c>
      <c r="D168" s="2" t="s">
        <v>607</v>
      </c>
      <c r="E168" s="2" t="s">
        <v>608</v>
      </c>
      <c r="F168" s="1" t="s">
        <v>568</v>
      </c>
      <c r="G168" s="1" t="s">
        <v>79</v>
      </c>
      <c r="H168" s="2" t="s">
        <v>83</v>
      </c>
      <c r="I168" s="1" t="s">
        <v>112</v>
      </c>
      <c r="J168" s="2" t="s">
        <v>27</v>
      </c>
    </row>
    <row r="169" spans="1:10" ht="15.9" customHeight="1" x14ac:dyDescent="0.3">
      <c r="A169" s="3" t="s">
        <v>609</v>
      </c>
      <c r="B169" s="4" t="s">
        <v>75</v>
      </c>
      <c r="C169" s="4" t="s">
        <v>12</v>
      </c>
      <c r="D169" s="4" t="s">
        <v>610</v>
      </c>
      <c r="E169" s="4" t="s">
        <v>30</v>
      </c>
      <c r="F169" s="3" t="s">
        <v>86</v>
      </c>
      <c r="G169" s="3" t="s">
        <v>33</v>
      </c>
      <c r="H169" s="4" t="s">
        <v>72</v>
      </c>
      <c r="I169" s="3" t="s">
        <v>112</v>
      </c>
      <c r="J169" s="4" t="s">
        <v>143</v>
      </c>
    </row>
    <row r="170" spans="1:10" ht="15.9" customHeight="1" x14ac:dyDescent="0.3">
      <c r="A170" s="1" t="s">
        <v>611</v>
      </c>
      <c r="B170" s="2" t="s">
        <v>381</v>
      </c>
      <c r="C170" s="2" t="s">
        <v>22</v>
      </c>
      <c r="D170" s="2" t="s">
        <v>612</v>
      </c>
      <c r="E170" s="2" t="s">
        <v>613</v>
      </c>
      <c r="F170" s="1" t="s">
        <v>392</v>
      </c>
      <c r="G170" s="1" t="s">
        <v>111</v>
      </c>
      <c r="H170" s="2" t="s">
        <v>65</v>
      </c>
      <c r="I170" s="1"/>
      <c r="J170" s="2" t="s">
        <v>34</v>
      </c>
    </row>
    <row r="171" spans="1:10" ht="15.9" customHeight="1" x14ac:dyDescent="0.3">
      <c r="A171" s="3" t="s">
        <v>614</v>
      </c>
      <c r="B171" s="4" t="s">
        <v>184</v>
      </c>
      <c r="C171" s="4" t="s">
        <v>62</v>
      </c>
      <c r="D171" s="4" t="s">
        <v>615</v>
      </c>
      <c r="E171" s="4" t="s">
        <v>616</v>
      </c>
      <c r="F171" s="3" t="s">
        <v>15</v>
      </c>
      <c r="G171" s="3" t="s">
        <v>41</v>
      </c>
      <c r="H171" s="4" t="s">
        <v>72</v>
      </c>
      <c r="I171" s="3" t="s">
        <v>26</v>
      </c>
      <c r="J171" s="4" t="s">
        <v>91</v>
      </c>
    </row>
    <row r="172" spans="1:10" ht="15.9" customHeight="1" x14ac:dyDescent="0.3">
      <c r="A172" s="1" t="s">
        <v>617</v>
      </c>
      <c r="B172" s="2" t="s">
        <v>114</v>
      </c>
      <c r="C172" s="2" t="s">
        <v>37</v>
      </c>
      <c r="D172" s="2"/>
      <c r="E172" s="2"/>
      <c r="F172" s="1" t="s">
        <v>618</v>
      </c>
      <c r="G172" s="1" t="s">
        <v>79</v>
      </c>
      <c r="H172" s="2" t="s">
        <v>83</v>
      </c>
      <c r="I172" s="1" t="s">
        <v>26</v>
      </c>
      <c r="J172" s="2" t="s">
        <v>106</v>
      </c>
    </row>
    <row r="173" spans="1:10" ht="15.9" customHeight="1" x14ac:dyDescent="0.3">
      <c r="A173" s="3" t="s">
        <v>619</v>
      </c>
      <c r="B173" s="4" t="s">
        <v>463</v>
      </c>
      <c r="C173" s="4" t="s">
        <v>62</v>
      </c>
      <c r="D173" s="4"/>
      <c r="E173" s="4" t="s">
        <v>620</v>
      </c>
      <c r="F173" s="3" t="s">
        <v>543</v>
      </c>
      <c r="G173" s="3" t="s">
        <v>142</v>
      </c>
      <c r="H173" s="4" t="s">
        <v>17</v>
      </c>
      <c r="I173" s="3" t="s">
        <v>216</v>
      </c>
      <c r="J173" s="4" t="s">
        <v>106</v>
      </c>
    </row>
    <row r="174" spans="1:10" ht="15.9" customHeight="1" x14ac:dyDescent="0.3">
      <c r="A174" s="1" t="s">
        <v>621</v>
      </c>
      <c r="B174" s="2" t="s">
        <v>56</v>
      </c>
      <c r="C174" s="2" t="s">
        <v>22</v>
      </c>
      <c r="D174" s="2" t="s">
        <v>622</v>
      </c>
      <c r="E174" s="2"/>
      <c r="F174" s="1" t="s">
        <v>371</v>
      </c>
      <c r="G174" s="1" t="s">
        <v>54</v>
      </c>
      <c r="H174" s="2" t="s">
        <v>125</v>
      </c>
      <c r="I174" s="1" t="s">
        <v>73</v>
      </c>
      <c r="J174" s="2" t="s">
        <v>106</v>
      </c>
    </row>
    <row r="175" spans="1:10" ht="15.9" customHeight="1" x14ac:dyDescent="0.3">
      <c r="A175" s="3" t="s">
        <v>623</v>
      </c>
      <c r="B175" s="4" t="s">
        <v>102</v>
      </c>
      <c r="C175" s="4" t="s">
        <v>62</v>
      </c>
      <c r="D175" s="4" t="s">
        <v>624</v>
      </c>
      <c r="E175" s="4" t="s">
        <v>30</v>
      </c>
      <c r="F175" s="3" t="s">
        <v>625</v>
      </c>
      <c r="G175" s="3" t="s">
        <v>111</v>
      </c>
      <c r="H175" s="4" t="s">
        <v>49</v>
      </c>
      <c r="I175" s="3" t="s">
        <v>216</v>
      </c>
      <c r="J175" s="4" t="s">
        <v>143</v>
      </c>
    </row>
    <row r="176" spans="1:10" ht="15.9" customHeight="1" x14ac:dyDescent="0.3">
      <c r="A176" s="1" t="s">
        <v>626</v>
      </c>
      <c r="B176" s="2" t="s">
        <v>240</v>
      </c>
      <c r="C176" s="2" t="s">
        <v>22</v>
      </c>
      <c r="D176" s="2" t="s">
        <v>627</v>
      </c>
      <c r="E176" s="2"/>
      <c r="F176" s="1" t="s">
        <v>628</v>
      </c>
      <c r="G176" s="1" t="s">
        <v>111</v>
      </c>
      <c r="H176" s="2" t="s">
        <v>72</v>
      </c>
      <c r="I176" s="1" t="s">
        <v>26</v>
      </c>
      <c r="J176" s="2" t="s">
        <v>51</v>
      </c>
    </row>
    <row r="177" spans="1:10" ht="15.9" customHeight="1" x14ac:dyDescent="0.3">
      <c r="A177" s="3" t="s">
        <v>629</v>
      </c>
      <c r="B177" s="4" t="s">
        <v>29</v>
      </c>
      <c r="C177" s="4" t="s">
        <v>119</v>
      </c>
      <c r="D177" s="4" t="s">
        <v>630</v>
      </c>
      <c r="E177" s="4" t="s">
        <v>631</v>
      </c>
      <c r="F177" s="3" t="s">
        <v>632</v>
      </c>
      <c r="G177" s="3" t="s">
        <v>16</v>
      </c>
      <c r="H177" s="4" t="s">
        <v>125</v>
      </c>
      <c r="I177" s="3" t="s">
        <v>216</v>
      </c>
      <c r="J177" s="4" t="s">
        <v>27</v>
      </c>
    </row>
    <row r="178" spans="1:10" ht="15.9" customHeight="1" x14ac:dyDescent="0.3">
      <c r="A178" s="1" t="s">
        <v>633</v>
      </c>
      <c r="B178" s="2" t="s">
        <v>118</v>
      </c>
      <c r="C178" s="2" t="s">
        <v>45</v>
      </c>
      <c r="D178" s="2" t="s">
        <v>30</v>
      </c>
      <c r="E178" s="2" t="s">
        <v>634</v>
      </c>
      <c r="F178" s="1" t="s">
        <v>635</v>
      </c>
      <c r="G178" s="1" t="s">
        <v>142</v>
      </c>
      <c r="H178" s="2" t="s">
        <v>83</v>
      </c>
      <c r="I178" s="1"/>
      <c r="J178" s="2" t="s">
        <v>19</v>
      </c>
    </row>
    <row r="179" spans="1:10" ht="15.9" customHeight="1" x14ac:dyDescent="0.3">
      <c r="A179" s="3" t="s">
        <v>636</v>
      </c>
      <c r="B179" s="4" t="s">
        <v>75</v>
      </c>
      <c r="C179" s="4" t="s">
        <v>45</v>
      </c>
      <c r="D179" s="4" t="s">
        <v>637</v>
      </c>
      <c r="E179" s="4" t="s">
        <v>638</v>
      </c>
      <c r="F179" s="3" t="s">
        <v>639</v>
      </c>
      <c r="G179" s="3" t="s">
        <v>16</v>
      </c>
      <c r="H179" s="4" t="s">
        <v>72</v>
      </c>
      <c r="I179" s="3" t="s">
        <v>73</v>
      </c>
      <c r="J179" s="4" t="s">
        <v>27</v>
      </c>
    </row>
    <row r="180" spans="1:10" ht="15.9" customHeight="1" x14ac:dyDescent="0.3">
      <c r="A180" s="1" t="s">
        <v>640</v>
      </c>
      <c r="B180" s="2" t="s">
        <v>149</v>
      </c>
      <c r="C180" s="2" t="s">
        <v>12</v>
      </c>
      <c r="D180" s="2" t="s">
        <v>641</v>
      </c>
      <c r="E180" s="2" t="s">
        <v>642</v>
      </c>
      <c r="F180" s="1" t="s">
        <v>643</v>
      </c>
      <c r="G180" s="1" t="s">
        <v>16</v>
      </c>
      <c r="H180" s="2" t="s">
        <v>83</v>
      </c>
      <c r="I180" s="1"/>
      <c r="J180" s="2" t="s">
        <v>143</v>
      </c>
    </row>
    <row r="181" spans="1:10" ht="15.9" customHeight="1" x14ac:dyDescent="0.3">
      <c r="A181" s="3" t="s">
        <v>644</v>
      </c>
      <c r="B181" s="4" t="s">
        <v>98</v>
      </c>
      <c r="C181" s="4"/>
      <c r="D181" s="4" t="s">
        <v>645</v>
      </c>
      <c r="E181" s="4"/>
      <c r="F181" s="3" t="s">
        <v>553</v>
      </c>
      <c r="G181" s="3" t="s">
        <v>16</v>
      </c>
      <c r="H181" s="4" t="s">
        <v>42</v>
      </c>
      <c r="I181" s="3" t="s">
        <v>50</v>
      </c>
      <c r="J181" s="4" t="s">
        <v>27</v>
      </c>
    </row>
    <row r="182" spans="1:10" ht="15.9" customHeight="1" x14ac:dyDescent="0.3">
      <c r="A182" s="1" t="s">
        <v>646</v>
      </c>
      <c r="B182" s="2" t="s">
        <v>647</v>
      </c>
      <c r="C182" s="2"/>
      <c r="D182" s="2" t="s">
        <v>648</v>
      </c>
      <c r="E182" s="2" t="s">
        <v>228</v>
      </c>
      <c r="F182" s="1" t="s">
        <v>649</v>
      </c>
      <c r="G182" s="1" t="s">
        <v>41</v>
      </c>
      <c r="H182" s="2" t="s">
        <v>49</v>
      </c>
      <c r="I182" s="1" t="s">
        <v>26</v>
      </c>
      <c r="J182" s="2" t="s">
        <v>106</v>
      </c>
    </row>
    <row r="183" spans="1:10" ht="15.9" customHeight="1" x14ac:dyDescent="0.3">
      <c r="A183" s="3" t="s">
        <v>650</v>
      </c>
      <c r="B183" s="4" t="s">
        <v>56</v>
      </c>
      <c r="C183" s="4" t="s">
        <v>119</v>
      </c>
      <c r="D183" s="4" t="s">
        <v>651</v>
      </c>
      <c r="E183" s="4" t="s">
        <v>620</v>
      </c>
      <c r="F183" s="3" t="s">
        <v>151</v>
      </c>
      <c r="G183" s="3" t="s">
        <v>33</v>
      </c>
      <c r="H183" s="4" t="s">
        <v>49</v>
      </c>
      <c r="I183" s="3" t="s">
        <v>73</v>
      </c>
      <c r="J183" s="4" t="s">
        <v>143</v>
      </c>
    </row>
    <row r="184" spans="1:10" ht="15.9" customHeight="1" x14ac:dyDescent="0.3">
      <c r="A184" s="1" t="s">
        <v>652</v>
      </c>
      <c r="B184" s="2" t="s">
        <v>149</v>
      </c>
      <c r="C184" s="2"/>
      <c r="D184" s="2"/>
      <c r="E184" s="2" t="s">
        <v>653</v>
      </c>
      <c r="F184" s="1" t="s">
        <v>348</v>
      </c>
      <c r="G184" s="1" t="s">
        <v>33</v>
      </c>
      <c r="H184" s="2" t="s">
        <v>49</v>
      </c>
      <c r="I184" s="1" t="s">
        <v>50</v>
      </c>
      <c r="J184" s="2" t="s">
        <v>106</v>
      </c>
    </row>
    <row r="185" spans="1:10" ht="15.9" customHeight="1" x14ac:dyDescent="0.3">
      <c r="A185" s="3" t="s">
        <v>654</v>
      </c>
      <c r="B185" s="4" t="s">
        <v>227</v>
      </c>
      <c r="C185" s="4"/>
      <c r="D185" s="4" t="s">
        <v>655</v>
      </c>
      <c r="E185" s="4" t="s">
        <v>30</v>
      </c>
      <c r="F185" s="3" t="s">
        <v>656</v>
      </c>
      <c r="G185" s="3" t="s">
        <v>16</v>
      </c>
      <c r="H185" s="4" t="s">
        <v>125</v>
      </c>
      <c r="I185" s="3" t="s">
        <v>50</v>
      </c>
      <c r="J185" s="4" t="s">
        <v>51</v>
      </c>
    </row>
    <row r="186" spans="1:10" ht="15.9" customHeight="1" x14ac:dyDescent="0.3">
      <c r="A186" s="1" t="s">
        <v>657</v>
      </c>
      <c r="B186" s="2" t="s">
        <v>61</v>
      </c>
      <c r="C186" s="2" t="s">
        <v>12</v>
      </c>
      <c r="D186" s="2" t="s">
        <v>30</v>
      </c>
      <c r="E186" s="2" t="s">
        <v>658</v>
      </c>
      <c r="F186" s="1" t="s">
        <v>586</v>
      </c>
      <c r="G186" s="1" t="s">
        <v>16</v>
      </c>
      <c r="H186" s="2" t="s">
        <v>83</v>
      </c>
      <c r="I186" s="1" t="s">
        <v>216</v>
      </c>
      <c r="J186" s="2" t="s">
        <v>66</v>
      </c>
    </row>
    <row r="187" spans="1:10" ht="15.9" customHeight="1" x14ac:dyDescent="0.3">
      <c r="A187" s="3" t="s">
        <v>659</v>
      </c>
      <c r="B187" s="4" t="s">
        <v>108</v>
      </c>
      <c r="C187" s="4" t="s">
        <v>12</v>
      </c>
      <c r="D187" s="4" t="s">
        <v>660</v>
      </c>
      <c r="E187" s="4" t="s">
        <v>30</v>
      </c>
      <c r="F187" s="3" t="s">
        <v>661</v>
      </c>
      <c r="G187" s="3" t="s">
        <v>79</v>
      </c>
      <c r="H187" s="4" t="s">
        <v>42</v>
      </c>
      <c r="I187" s="3"/>
      <c r="J187" s="4" t="s">
        <v>143</v>
      </c>
    </row>
    <row r="188" spans="1:10" ht="15.9" customHeight="1" x14ac:dyDescent="0.3">
      <c r="A188" s="1" t="s">
        <v>662</v>
      </c>
      <c r="B188" s="2" t="s">
        <v>29</v>
      </c>
      <c r="C188" s="2" t="s">
        <v>119</v>
      </c>
      <c r="D188" s="2" t="s">
        <v>30</v>
      </c>
      <c r="E188" s="2" t="s">
        <v>663</v>
      </c>
      <c r="F188" s="1" t="s">
        <v>71</v>
      </c>
      <c r="G188" s="1" t="s">
        <v>41</v>
      </c>
      <c r="H188" s="2" t="s">
        <v>83</v>
      </c>
      <c r="I188" s="1" t="s">
        <v>50</v>
      </c>
      <c r="J188" s="2" t="s">
        <v>19</v>
      </c>
    </row>
    <row r="189" spans="1:10" ht="15.9" customHeight="1" x14ac:dyDescent="0.3">
      <c r="A189" s="3" t="s">
        <v>664</v>
      </c>
      <c r="B189" s="4" t="s">
        <v>197</v>
      </c>
      <c r="C189" s="4" t="s">
        <v>119</v>
      </c>
      <c r="D189" s="4" t="s">
        <v>665</v>
      </c>
      <c r="E189" s="4" t="s">
        <v>666</v>
      </c>
      <c r="F189" s="3" t="s">
        <v>187</v>
      </c>
      <c r="G189" s="3" t="s">
        <v>79</v>
      </c>
      <c r="H189" s="4" t="s">
        <v>83</v>
      </c>
      <c r="I189" s="3" t="s">
        <v>26</v>
      </c>
      <c r="J189" s="4" t="s">
        <v>27</v>
      </c>
    </row>
    <row r="190" spans="1:10" ht="15.9" customHeight="1" x14ac:dyDescent="0.3">
      <c r="A190" s="1" t="s">
        <v>667</v>
      </c>
      <c r="B190" s="2" t="s">
        <v>68</v>
      </c>
      <c r="C190" s="2" t="s">
        <v>45</v>
      </c>
      <c r="D190" s="2" t="s">
        <v>668</v>
      </c>
      <c r="E190" s="2" t="s">
        <v>669</v>
      </c>
      <c r="F190" s="1" t="s">
        <v>539</v>
      </c>
      <c r="G190" s="1" t="s">
        <v>41</v>
      </c>
      <c r="H190" s="2"/>
      <c r="I190" s="1" t="s">
        <v>18</v>
      </c>
      <c r="J190" s="2" t="s">
        <v>51</v>
      </c>
    </row>
    <row r="191" spans="1:10" ht="15.9" customHeight="1" x14ac:dyDescent="0.3">
      <c r="A191" s="3" t="s">
        <v>670</v>
      </c>
      <c r="B191" s="4" t="s">
        <v>354</v>
      </c>
      <c r="C191" s="4" t="s">
        <v>62</v>
      </c>
      <c r="D191" s="4" t="s">
        <v>671</v>
      </c>
      <c r="E191" s="4" t="s">
        <v>469</v>
      </c>
      <c r="F191" s="3" t="s">
        <v>672</v>
      </c>
      <c r="G191" s="3" t="s">
        <v>142</v>
      </c>
      <c r="H191" s="4" t="s">
        <v>42</v>
      </c>
      <c r="I191" s="3"/>
      <c r="J191" s="4" t="s">
        <v>106</v>
      </c>
    </row>
    <row r="192" spans="1:10" ht="15.9" customHeight="1" x14ac:dyDescent="0.3">
      <c r="A192" s="1" t="s">
        <v>673</v>
      </c>
      <c r="B192" s="2" t="s">
        <v>98</v>
      </c>
      <c r="C192" s="2" t="s">
        <v>12</v>
      </c>
      <c r="D192" s="2" t="s">
        <v>674</v>
      </c>
      <c r="E192" s="2"/>
      <c r="F192" s="1" t="s">
        <v>675</v>
      </c>
      <c r="G192" s="1" t="s">
        <v>54</v>
      </c>
      <c r="H192" s="2" t="s">
        <v>65</v>
      </c>
      <c r="I192" s="1" t="s">
        <v>26</v>
      </c>
      <c r="J192" s="2" t="s">
        <v>143</v>
      </c>
    </row>
    <row r="193" spans="1:10" ht="15.9" customHeight="1" x14ac:dyDescent="0.3">
      <c r="A193" s="3" t="s">
        <v>676</v>
      </c>
      <c r="B193" s="4" t="s">
        <v>206</v>
      </c>
      <c r="C193" s="4"/>
      <c r="D193" s="4" t="s">
        <v>677</v>
      </c>
      <c r="E193" s="4" t="s">
        <v>30</v>
      </c>
      <c r="F193" s="3" t="s">
        <v>379</v>
      </c>
      <c r="G193" s="3" t="s">
        <v>54</v>
      </c>
      <c r="H193" s="4" t="s">
        <v>72</v>
      </c>
      <c r="I193" s="3" t="s">
        <v>50</v>
      </c>
      <c r="J193" s="4" t="s">
        <v>143</v>
      </c>
    </row>
    <row r="194" spans="1:10" ht="15.9" customHeight="1" x14ac:dyDescent="0.3">
      <c r="A194" s="1" t="s">
        <v>678</v>
      </c>
      <c r="B194" s="2" t="s">
        <v>184</v>
      </c>
      <c r="C194" s="2" t="s">
        <v>37</v>
      </c>
      <c r="D194" s="2"/>
      <c r="E194" s="2" t="s">
        <v>305</v>
      </c>
      <c r="F194" s="1" t="s">
        <v>212</v>
      </c>
      <c r="G194" s="1" t="s">
        <v>48</v>
      </c>
      <c r="H194" s="2" t="s">
        <v>83</v>
      </c>
      <c r="I194" s="1" t="s">
        <v>216</v>
      </c>
      <c r="J194" s="2" t="s">
        <v>19</v>
      </c>
    </row>
    <row r="195" spans="1:10" ht="15.9" customHeight="1" x14ac:dyDescent="0.3">
      <c r="A195" s="3" t="s">
        <v>679</v>
      </c>
      <c r="B195" s="4" t="s">
        <v>114</v>
      </c>
      <c r="C195" s="4" t="s">
        <v>119</v>
      </c>
      <c r="D195" s="4" t="s">
        <v>680</v>
      </c>
      <c r="E195" s="4" t="s">
        <v>30</v>
      </c>
      <c r="F195" s="3" t="s">
        <v>681</v>
      </c>
      <c r="G195" s="3" t="s">
        <v>48</v>
      </c>
      <c r="H195" s="4"/>
      <c r="I195" s="3" t="s">
        <v>50</v>
      </c>
      <c r="J195" s="4" t="s">
        <v>34</v>
      </c>
    </row>
    <row r="196" spans="1:10" ht="15.9" customHeight="1" x14ac:dyDescent="0.3">
      <c r="A196" s="1" t="s">
        <v>682</v>
      </c>
      <c r="B196" s="2" t="s">
        <v>597</v>
      </c>
      <c r="C196" s="2" t="s">
        <v>22</v>
      </c>
      <c r="D196" s="2" t="s">
        <v>683</v>
      </c>
      <c r="E196" s="2" t="s">
        <v>684</v>
      </c>
      <c r="F196" s="1" t="s">
        <v>243</v>
      </c>
      <c r="G196" s="1" t="s">
        <v>48</v>
      </c>
      <c r="H196" s="2" t="s">
        <v>72</v>
      </c>
      <c r="I196" s="1" t="s">
        <v>50</v>
      </c>
      <c r="J196" s="2" t="s">
        <v>19</v>
      </c>
    </row>
    <row r="197" spans="1:10" ht="15.9" customHeight="1" x14ac:dyDescent="0.3">
      <c r="A197" s="3" t="s">
        <v>685</v>
      </c>
      <c r="B197" s="4" t="s">
        <v>98</v>
      </c>
      <c r="C197" s="4" t="s">
        <v>37</v>
      </c>
      <c r="D197" s="4" t="s">
        <v>686</v>
      </c>
      <c r="E197" s="4"/>
      <c r="F197" s="3" t="s">
        <v>603</v>
      </c>
      <c r="G197" s="3" t="s">
        <v>48</v>
      </c>
      <c r="H197" s="4" t="s">
        <v>83</v>
      </c>
      <c r="I197" s="3" t="s">
        <v>112</v>
      </c>
      <c r="J197" s="4" t="s">
        <v>66</v>
      </c>
    </row>
    <row r="198" spans="1:10" ht="15.9" customHeight="1" x14ac:dyDescent="0.3">
      <c r="A198" s="1" t="s">
        <v>687</v>
      </c>
      <c r="B198" s="2" t="s">
        <v>597</v>
      </c>
      <c r="C198" s="2" t="s">
        <v>119</v>
      </c>
      <c r="D198" s="2" t="s">
        <v>30</v>
      </c>
      <c r="E198" s="2"/>
      <c r="F198" s="1" t="s">
        <v>71</v>
      </c>
      <c r="G198" s="1" t="s">
        <v>16</v>
      </c>
      <c r="H198" s="2" t="s">
        <v>125</v>
      </c>
      <c r="I198" s="1" t="s">
        <v>26</v>
      </c>
      <c r="J198" s="2" t="s">
        <v>34</v>
      </c>
    </row>
    <row r="199" spans="1:10" ht="15.9" customHeight="1" x14ac:dyDescent="0.3">
      <c r="A199" s="3" t="s">
        <v>688</v>
      </c>
      <c r="B199" s="4" t="s">
        <v>206</v>
      </c>
      <c r="C199" s="4"/>
      <c r="D199" s="4" t="s">
        <v>689</v>
      </c>
      <c r="E199" s="4" t="s">
        <v>690</v>
      </c>
      <c r="F199" s="3" t="s">
        <v>691</v>
      </c>
      <c r="G199" s="3" t="s">
        <v>16</v>
      </c>
      <c r="H199" s="4" t="s">
        <v>72</v>
      </c>
      <c r="I199" s="3" t="s">
        <v>26</v>
      </c>
      <c r="J199" s="4" t="s">
        <v>51</v>
      </c>
    </row>
    <row r="200" spans="1:10" ht="15.9" customHeight="1" x14ac:dyDescent="0.3">
      <c r="A200" s="1" t="s">
        <v>692</v>
      </c>
      <c r="B200" s="2" t="s">
        <v>118</v>
      </c>
      <c r="C200" s="2" t="s">
        <v>37</v>
      </c>
      <c r="D200" s="2" t="s">
        <v>693</v>
      </c>
      <c r="E200" s="2" t="s">
        <v>694</v>
      </c>
      <c r="F200" s="1" t="s">
        <v>15</v>
      </c>
      <c r="G200" s="1" t="s">
        <v>41</v>
      </c>
      <c r="H200" s="2" t="s">
        <v>25</v>
      </c>
      <c r="I200" s="1" t="s">
        <v>26</v>
      </c>
      <c r="J200" s="2" t="s">
        <v>91</v>
      </c>
    </row>
    <row r="201" spans="1:10" ht="15.9" customHeight="1" x14ac:dyDescent="0.3">
      <c r="A201" s="3" t="s">
        <v>695</v>
      </c>
      <c r="B201" s="4" t="s">
        <v>93</v>
      </c>
      <c r="C201" s="4"/>
      <c r="D201" s="4" t="s">
        <v>696</v>
      </c>
      <c r="E201" s="4" t="s">
        <v>697</v>
      </c>
      <c r="F201" s="3" t="s">
        <v>545</v>
      </c>
      <c r="G201" s="3" t="s">
        <v>142</v>
      </c>
      <c r="H201" s="4" t="s">
        <v>125</v>
      </c>
      <c r="I201" s="3" t="s">
        <v>73</v>
      </c>
      <c r="J201" s="4" t="s">
        <v>66</v>
      </c>
    </row>
    <row r="202" spans="1:10" ht="15.9" customHeight="1" x14ac:dyDescent="0.3">
      <c r="A202" s="1" t="s">
        <v>698</v>
      </c>
      <c r="B202" s="2" t="s">
        <v>165</v>
      </c>
      <c r="C202" s="2" t="s">
        <v>45</v>
      </c>
      <c r="D202" s="2" t="s">
        <v>30</v>
      </c>
      <c r="E202" s="2"/>
      <c r="F202" s="1" t="s">
        <v>187</v>
      </c>
      <c r="G202" s="1" t="s">
        <v>48</v>
      </c>
      <c r="H202" s="2" t="s">
        <v>17</v>
      </c>
      <c r="I202" s="1" t="s">
        <v>50</v>
      </c>
      <c r="J202" s="2" t="s">
        <v>66</v>
      </c>
    </row>
    <row r="203" spans="1:10" ht="15.9" customHeight="1" x14ac:dyDescent="0.3">
      <c r="A203" s="3" t="s">
        <v>589</v>
      </c>
      <c r="B203" s="4" t="s">
        <v>11</v>
      </c>
      <c r="C203" s="4" t="s">
        <v>45</v>
      </c>
      <c r="D203" s="4" t="s">
        <v>30</v>
      </c>
      <c r="E203" s="4" t="s">
        <v>690</v>
      </c>
      <c r="F203" s="3" t="s">
        <v>639</v>
      </c>
      <c r="G203" s="3" t="s">
        <v>16</v>
      </c>
      <c r="H203" s="4" t="s">
        <v>65</v>
      </c>
      <c r="I203" s="3" t="s">
        <v>18</v>
      </c>
      <c r="J203" s="4" t="s">
        <v>143</v>
      </c>
    </row>
    <row r="204" spans="1:10" ht="15.9" customHeight="1" x14ac:dyDescent="0.3">
      <c r="A204" s="1" t="s">
        <v>699</v>
      </c>
      <c r="B204" s="2" t="s">
        <v>134</v>
      </c>
      <c r="C204" s="2" t="s">
        <v>119</v>
      </c>
      <c r="D204" s="2" t="s">
        <v>700</v>
      </c>
      <c r="E204" s="2" t="s">
        <v>701</v>
      </c>
      <c r="F204" s="1" t="s">
        <v>457</v>
      </c>
      <c r="G204" s="1" t="s">
        <v>33</v>
      </c>
      <c r="H204" s="2" t="s">
        <v>65</v>
      </c>
      <c r="I204" s="1" t="s">
        <v>50</v>
      </c>
      <c r="J204" s="2" t="s">
        <v>66</v>
      </c>
    </row>
    <row r="205" spans="1:10" ht="15.9" customHeight="1" x14ac:dyDescent="0.3">
      <c r="A205" s="3" t="s">
        <v>702</v>
      </c>
      <c r="B205" s="4" t="s">
        <v>68</v>
      </c>
      <c r="C205" s="4"/>
      <c r="D205" s="4" t="s">
        <v>703</v>
      </c>
      <c r="E205" s="4" t="s">
        <v>30</v>
      </c>
      <c r="F205" s="3" t="s">
        <v>704</v>
      </c>
      <c r="G205" s="3" t="s">
        <v>54</v>
      </c>
      <c r="H205" s="4" t="s">
        <v>25</v>
      </c>
      <c r="I205" s="3" t="s">
        <v>216</v>
      </c>
      <c r="J205" s="4" t="s">
        <v>143</v>
      </c>
    </row>
    <row r="206" spans="1:10" ht="15.9" customHeight="1" x14ac:dyDescent="0.3">
      <c r="A206" s="1" t="s">
        <v>705</v>
      </c>
      <c r="B206" s="2" t="s">
        <v>206</v>
      </c>
      <c r="C206" s="2" t="s">
        <v>45</v>
      </c>
      <c r="D206" s="2"/>
      <c r="E206" s="2" t="s">
        <v>706</v>
      </c>
      <c r="F206" s="1" t="s">
        <v>368</v>
      </c>
      <c r="G206" s="1" t="s">
        <v>41</v>
      </c>
      <c r="H206" s="2" t="s">
        <v>42</v>
      </c>
      <c r="I206" s="1"/>
      <c r="J206" s="2"/>
    </row>
    <row r="207" spans="1:10" ht="15.9" customHeight="1" x14ac:dyDescent="0.3">
      <c r="A207" s="3" t="s">
        <v>707</v>
      </c>
      <c r="B207" s="4" t="s">
        <v>61</v>
      </c>
      <c r="C207" s="4" t="s">
        <v>22</v>
      </c>
      <c r="D207" s="4" t="s">
        <v>708</v>
      </c>
      <c r="E207" s="4" t="s">
        <v>30</v>
      </c>
      <c r="F207" s="3" t="s">
        <v>232</v>
      </c>
      <c r="G207" s="3" t="s">
        <v>79</v>
      </c>
      <c r="H207" s="4" t="s">
        <v>25</v>
      </c>
      <c r="I207" s="3" t="s">
        <v>26</v>
      </c>
      <c r="J207" s="4" t="s">
        <v>51</v>
      </c>
    </row>
    <row r="208" spans="1:10" ht="15.9" customHeight="1" x14ac:dyDescent="0.3">
      <c r="A208" s="1" t="s">
        <v>709</v>
      </c>
      <c r="B208" s="2" t="s">
        <v>118</v>
      </c>
      <c r="C208" s="2" t="s">
        <v>45</v>
      </c>
      <c r="D208" s="2" t="s">
        <v>710</v>
      </c>
      <c r="E208" s="2" t="s">
        <v>711</v>
      </c>
      <c r="F208" s="1" t="s">
        <v>712</v>
      </c>
      <c r="G208" s="1" t="s">
        <v>48</v>
      </c>
      <c r="H208" s="2" t="s">
        <v>42</v>
      </c>
      <c r="I208" s="1" t="s">
        <v>216</v>
      </c>
      <c r="J208" s="2" t="s">
        <v>19</v>
      </c>
    </row>
    <row r="209" spans="1:10" ht="15.9" customHeight="1" x14ac:dyDescent="0.3">
      <c r="A209" s="3" t="s">
        <v>713</v>
      </c>
      <c r="B209" s="4" t="s">
        <v>75</v>
      </c>
      <c r="C209" s="4" t="s">
        <v>22</v>
      </c>
      <c r="D209" s="4" t="s">
        <v>30</v>
      </c>
      <c r="E209" s="4" t="s">
        <v>714</v>
      </c>
      <c r="F209" s="3" t="s">
        <v>396</v>
      </c>
      <c r="G209" s="3" t="s">
        <v>54</v>
      </c>
      <c r="H209" s="4" t="s">
        <v>49</v>
      </c>
      <c r="I209" s="3" t="s">
        <v>112</v>
      </c>
      <c r="J209" s="4"/>
    </row>
    <row r="210" spans="1:10" ht="15.9" customHeight="1" x14ac:dyDescent="0.3">
      <c r="A210" s="1" t="s">
        <v>715</v>
      </c>
      <c r="B210" s="2" t="s">
        <v>153</v>
      </c>
      <c r="C210" s="2" t="s">
        <v>12</v>
      </c>
      <c r="D210" s="2" t="s">
        <v>30</v>
      </c>
      <c r="E210" s="2" t="s">
        <v>716</v>
      </c>
      <c r="F210" s="1" t="s">
        <v>385</v>
      </c>
      <c r="G210" s="1" t="s">
        <v>142</v>
      </c>
      <c r="H210" s="2" t="s">
        <v>17</v>
      </c>
      <c r="I210" s="1" t="s">
        <v>18</v>
      </c>
      <c r="J210" s="2" t="s">
        <v>91</v>
      </c>
    </row>
    <row r="211" spans="1:10" ht="15.9" customHeight="1" x14ac:dyDescent="0.3">
      <c r="A211" s="3" t="s">
        <v>717</v>
      </c>
      <c r="B211" s="4" t="s">
        <v>298</v>
      </c>
      <c r="C211" s="4" t="s">
        <v>37</v>
      </c>
      <c r="D211" s="4"/>
      <c r="E211" s="4" t="s">
        <v>718</v>
      </c>
      <c r="F211" s="3" t="s">
        <v>719</v>
      </c>
      <c r="G211" s="3" t="s">
        <v>54</v>
      </c>
      <c r="H211" s="4"/>
      <c r="I211" s="3"/>
      <c r="J211" s="4"/>
    </row>
    <row r="212" spans="1:10" ht="15.9" customHeight="1" x14ac:dyDescent="0.3">
      <c r="A212" s="1" t="s">
        <v>720</v>
      </c>
      <c r="B212" s="2" t="s">
        <v>157</v>
      </c>
      <c r="C212" s="2"/>
      <c r="D212" s="2" t="s">
        <v>721</v>
      </c>
      <c r="E212" s="2" t="s">
        <v>722</v>
      </c>
      <c r="F212" s="1" t="s">
        <v>519</v>
      </c>
      <c r="G212" s="1" t="s">
        <v>33</v>
      </c>
      <c r="H212" s="2"/>
      <c r="I212" s="1"/>
      <c r="J212" s="2" t="s">
        <v>19</v>
      </c>
    </row>
    <row r="213" spans="1:10" ht="15.9" customHeight="1" x14ac:dyDescent="0.3">
      <c r="A213" s="3" t="s">
        <v>723</v>
      </c>
      <c r="B213" s="4" t="s">
        <v>342</v>
      </c>
      <c r="C213" s="4" t="s">
        <v>62</v>
      </c>
      <c r="D213" s="4" t="s">
        <v>724</v>
      </c>
      <c r="E213" s="4"/>
      <c r="F213" s="3" t="s">
        <v>725</v>
      </c>
      <c r="G213" s="3" t="s">
        <v>54</v>
      </c>
      <c r="H213" s="4" t="s">
        <v>72</v>
      </c>
      <c r="I213" s="3" t="s">
        <v>216</v>
      </c>
      <c r="J213" s="4" t="s">
        <v>91</v>
      </c>
    </row>
    <row r="214" spans="1:10" ht="15.9" customHeight="1" x14ac:dyDescent="0.3">
      <c r="A214" s="1" t="s">
        <v>726</v>
      </c>
      <c r="B214" s="2" t="s">
        <v>134</v>
      </c>
      <c r="C214" s="2" t="s">
        <v>62</v>
      </c>
      <c r="D214" s="2" t="s">
        <v>727</v>
      </c>
      <c r="E214" s="2"/>
      <c r="F214" s="1" t="s">
        <v>379</v>
      </c>
      <c r="G214" s="1" t="s">
        <v>41</v>
      </c>
      <c r="H214" s="2" t="s">
        <v>49</v>
      </c>
      <c r="I214" s="1" t="s">
        <v>73</v>
      </c>
      <c r="J214" s="2"/>
    </row>
    <row r="215" spans="1:10" ht="15.9" customHeight="1" x14ac:dyDescent="0.3">
      <c r="A215" s="3" t="s">
        <v>728</v>
      </c>
      <c r="B215" s="4" t="s">
        <v>102</v>
      </c>
      <c r="C215" s="4" t="s">
        <v>62</v>
      </c>
      <c r="D215" s="4" t="s">
        <v>729</v>
      </c>
      <c r="E215" s="4"/>
      <c r="F215" s="3" t="s">
        <v>348</v>
      </c>
      <c r="G215" s="3" t="s">
        <v>41</v>
      </c>
      <c r="H215" s="4" t="s">
        <v>125</v>
      </c>
      <c r="I215" s="3" t="s">
        <v>18</v>
      </c>
      <c r="J215" s="4" t="s">
        <v>51</v>
      </c>
    </row>
    <row r="216" spans="1:10" ht="15.9" customHeight="1" x14ac:dyDescent="0.3">
      <c r="A216" s="1" t="s">
        <v>730</v>
      </c>
      <c r="B216" s="2" t="s">
        <v>381</v>
      </c>
      <c r="C216" s="2" t="s">
        <v>22</v>
      </c>
      <c r="D216" s="2" t="s">
        <v>731</v>
      </c>
      <c r="E216" s="2" t="s">
        <v>732</v>
      </c>
      <c r="F216" s="1" t="s">
        <v>733</v>
      </c>
      <c r="G216" s="1" t="s">
        <v>142</v>
      </c>
      <c r="H216" s="2" t="s">
        <v>125</v>
      </c>
      <c r="I216" s="1" t="s">
        <v>50</v>
      </c>
      <c r="J216" s="2" t="s">
        <v>34</v>
      </c>
    </row>
    <row r="217" spans="1:10" ht="15.9" customHeight="1" x14ac:dyDescent="0.3">
      <c r="A217" s="3" t="s">
        <v>734</v>
      </c>
      <c r="B217" s="4" t="s">
        <v>68</v>
      </c>
      <c r="C217" s="4" t="s">
        <v>22</v>
      </c>
      <c r="D217" s="4"/>
      <c r="E217" s="4" t="s">
        <v>735</v>
      </c>
      <c r="F217" s="3" t="s">
        <v>182</v>
      </c>
      <c r="G217" s="3" t="s">
        <v>111</v>
      </c>
      <c r="H217" s="4" t="s">
        <v>125</v>
      </c>
      <c r="I217" s="3" t="s">
        <v>112</v>
      </c>
      <c r="J217" s="4" t="s">
        <v>66</v>
      </c>
    </row>
    <row r="218" spans="1:10" ht="15.9" customHeight="1" x14ac:dyDescent="0.3">
      <c r="A218" s="1" t="s">
        <v>736</v>
      </c>
      <c r="B218" s="2" t="s">
        <v>68</v>
      </c>
      <c r="C218" s="2" t="s">
        <v>12</v>
      </c>
      <c r="D218" s="2" t="s">
        <v>737</v>
      </c>
      <c r="E218" s="2" t="s">
        <v>738</v>
      </c>
      <c r="F218" s="1" t="s">
        <v>739</v>
      </c>
      <c r="G218" s="1" t="s">
        <v>79</v>
      </c>
      <c r="H218" s="2" t="s">
        <v>83</v>
      </c>
      <c r="I218" s="1" t="s">
        <v>26</v>
      </c>
      <c r="J218" s="2" t="s">
        <v>27</v>
      </c>
    </row>
    <row r="219" spans="1:10" ht="15.9" customHeight="1" x14ac:dyDescent="0.3">
      <c r="A219" s="3" t="s">
        <v>717</v>
      </c>
      <c r="B219" s="4" t="s">
        <v>290</v>
      </c>
      <c r="C219" s="4" t="s">
        <v>119</v>
      </c>
      <c r="D219" s="4" t="s">
        <v>740</v>
      </c>
      <c r="E219" s="4" t="s">
        <v>741</v>
      </c>
      <c r="F219" s="3" t="s">
        <v>742</v>
      </c>
      <c r="G219" s="3" t="s">
        <v>111</v>
      </c>
      <c r="H219" s="4" t="s">
        <v>83</v>
      </c>
      <c r="I219" s="3"/>
      <c r="J219" s="4" t="s">
        <v>91</v>
      </c>
    </row>
    <row r="220" spans="1:10" ht="15.9" customHeight="1" x14ac:dyDescent="0.3">
      <c r="A220" s="1" t="s">
        <v>743</v>
      </c>
      <c r="B220" s="2" t="s">
        <v>68</v>
      </c>
      <c r="C220" s="2" t="s">
        <v>119</v>
      </c>
      <c r="D220" s="2" t="s">
        <v>744</v>
      </c>
      <c r="E220" s="2" t="s">
        <v>745</v>
      </c>
      <c r="F220" s="1" t="s">
        <v>746</v>
      </c>
      <c r="G220" s="1" t="s">
        <v>33</v>
      </c>
      <c r="H220" s="2" t="s">
        <v>49</v>
      </c>
      <c r="I220" s="1" t="s">
        <v>26</v>
      </c>
      <c r="J220" s="2" t="s">
        <v>27</v>
      </c>
    </row>
    <row r="221" spans="1:10" ht="15.9" customHeight="1" x14ac:dyDescent="0.3">
      <c r="A221" s="3" t="s">
        <v>747</v>
      </c>
      <c r="B221" s="4" t="s">
        <v>206</v>
      </c>
      <c r="C221" s="4" t="s">
        <v>45</v>
      </c>
      <c r="D221" s="4" t="s">
        <v>748</v>
      </c>
      <c r="E221" s="4"/>
      <c r="F221" s="3" t="s">
        <v>749</v>
      </c>
      <c r="G221" s="3" t="s">
        <v>33</v>
      </c>
      <c r="H221" s="4" t="s">
        <v>83</v>
      </c>
      <c r="I221" s="3" t="s">
        <v>18</v>
      </c>
      <c r="J221" s="4" t="s">
        <v>27</v>
      </c>
    </row>
    <row r="222" spans="1:10" ht="15.9" customHeight="1" x14ac:dyDescent="0.3">
      <c r="A222" s="1" t="s">
        <v>750</v>
      </c>
      <c r="B222" s="2" t="s">
        <v>98</v>
      </c>
      <c r="C222" s="2" t="s">
        <v>62</v>
      </c>
      <c r="D222" s="2"/>
      <c r="E222" s="2" t="s">
        <v>751</v>
      </c>
      <c r="F222" s="1" t="s">
        <v>116</v>
      </c>
      <c r="G222" s="1" t="s">
        <v>111</v>
      </c>
      <c r="H222" s="2" t="s">
        <v>65</v>
      </c>
      <c r="I222" s="1" t="s">
        <v>18</v>
      </c>
      <c r="J222" s="2" t="s">
        <v>106</v>
      </c>
    </row>
    <row r="223" spans="1:10" ht="15.9" customHeight="1" x14ac:dyDescent="0.3">
      <c r="A223" s="3" t="s">
        <v>752</v>
      </c>
      <c r="B223" s="4" t="s">
        <v>290</v>
      </c>
      <c r="C223" s="4"/>
      <c r="D223" s="4" t="s">
        <v>753</v>
      </c>
      <c r="E223" s="4" t="s">
        <v>754</v>
      </c>
      <c r="F223" s="3" t="s">
        <v>755</v>
      </c>
      <c r="G223" s="3" t="s">
        <v>79</v>
      </c>
      <c r="H223" s="4" t="s">
        <v>72</v>
      </c>
      <c r="I223" s="3" t="s">
        <v>112</v>
      </c>
      <c r="J223" s="4" t="s">
        <v>91</v>
      </c>
    </row>
    <row r="224" spans="1:10" ht="15.9" customHeight="1" x14ac:dyDescent="0.3">
      <c r="A224" s="1" t="s">
        <v>756</v>
      </c>
      <c r="B224" s="2" t="s">
        <v>21</v>
      </c>
      <c r="C224" s="2"/>
      <c r="D224" s="2" t="s">
        <v>30</v>
      </c>
      <c r="E224" s="2" t="s">
        <v>30</v>
      </c>
      <c r="F224" s="1" t="s">
        <v>757</v>
      </c>
      <c r="G224" s="1" t="s">
        <v>54</v>
      </c>
      <c r="H224" s="2" t="s">
        <v>83</v>
      </c>
      <c r="I224" s="1" t="s">
        <v>50</v>
      </c>
      <c r="J224" s="2"/>
    </row>
    <row r="225" spans="1:10" ht="15.9" customHeight="1" x14ac:dyDescent="0.3">
      <c r="A225" s="3" t="s">
        <v>758</v>
      </c>
      <c r="B225" s="4" t="s">
        <v>29</v>
      </c>
      <c r="C225" s="4" t="s">
        <v>37</v>
      </c>
      <c r="D225" s="4"/>
      <c r="E225" s="4"/>
      <c r="F225" s="3" t="s">
        <v>759</v>
      </c>
      <c r="G225" s="3" t="s">
        <v>41</v>
      </c>
      <c r="H225" s="4" t="s">
        <v>49</v>
      </c>
      <c r="I225" s="3" t="s">
        <v>18</v>
      </c>
      <c r="J225" s="4"/>
    </row>
    <row r="226" spans="1:10" ht="15.9" customHeight="1" x14ac:dyDescent="0.3">
      <c r="A226" s="1" t="s">
        <v>760</v>
      </c>
      <c r="B226" s="2" t="s">
        <v>275</v>
      </c>
      <c r="C226" s="2" t="s">
        <v>45</v>
      </c>
      <c r="D226" s="2" t="s">
        <v>761</v>
      </c>
      <c r="E226" s="2" t="s">
        <v>762</v>
      </c>
      <c r="F226" s="1" t="s">
        <v>252</v>
      </c>
      <c r="G226" s="1" t="s">
        <v>48</v>
      </c>
      <c r="H226" s="2" t="s">
        <v>65</v>
      </c>
      <c r="I226" s="1" t="s">
        <v>112</v>
      </c>
      <c r="J226" s="2" t="s">
        <v>34</v>
      </c>
    </row>
    <row r="227" spans="1:10" ht="15.9" customHeight="1" x14ac:dyDescent="0.3">
      <c r="A227" s="3" t="s">
        <v>763</v>
      </c>
      <c r="B227" s="4" t="s">
        <v>68</v>
      </c>
      <c r="C227" s="4" t="s">
        <v>62</v>
      </c>
      <c r="D227" s="4" t="s">
        <v>764</v>
      </c>
      <c r="E227" s="4" t="s">
        <v>765</v>
      </c>
      <c r="F227" s="3" t="s">
        <v>766</v>
      </c>
      <c r="G227" s="3" t="s">
        <v>111</v>
      </c>
      <c r="H227" s="4" t="s">
        <v>83</v>
      </c>
      <c r="I227" s="3" t="s">
        <v>216</v>
      </c>
      <c r="J227" s="4" t="s">
        <v>91</v>
      </c>
    </row>
    <row r="228" spans="1:10" ht="15.9" customHeight="1" x14ac:dyDescent="0.3">
      <c r="A228" s="1" t="s">
        <v>767</v>
      </c>
      <c r="B228" s="2" t="s">
        <v>36</v>
      </c>
      <c r="C228" s="2" t="s">
        <v>22</v>
      </c>
      <c r="D228" s="2" t="s">
        <v>768</v>
      </c>
      <c r="E228" s="2" t="s">
        <v>30</v>
      </c>
      <c r="F228" s="1" t="s">
        <v>769</v>
      </c>
      <c r="G228" s="1" t="s">
        <v>79</v>
      </c>
      <c r="H228" s="2" t="s">
        <v>72</v>
      </c>
      <c r="I228" s="1" t="s">
        <v>73</v>
      </c>
      <c r="J228" s="2" t="s">
        <v>106</v>
      </c>
    </row>
    <row r="229" spans="1:10" ht="15.9" customHeight="1" x14ac:dyDescent="0.3">
      <c r="A229" s="3" t="s">
        <v>770</v>
      </c>
      <c r="B229" s="4" t="s">
        <v>463</v>
      </c>
      <c r="C229" s="4" t="s">
        <v>12</v>
      </c>
      <c r="D229" s="4" t="s">
        <v>771</v>
      </c>
      <c r="E229" s="4" t="s">
        <v>772</v>
      </c>
      <c r="F229" s="3" t="s">
        <v>773</v>
      </c>
      <c r="G229" s="3" t="s">
        <v>111</v>
      </c>
      <c r="H229" s="4" t="s">
        <v>83</v>
      </c>
      <c r="I229" s="3"/>
      <c r="J229" s="4" t="s">
        <v>27</v>
      </c>
    </row>
    <row r="230" spans="1:10" ht="15.9" customHeight="1" x14ac:dyDescent="0.3">
      <c r="A230" s="1" t="s">
        <v>774</v>
      </c>
      <c r="B230" s="2" t="s">
        <v>68</v>
      </c>
      <c r="C230" s="2" t="s">
        <v>119</v>
      </c>
      <c r="D230" s="2"/>
      <c r="E230" s="2" t="s">
        <v>775</v>
      </c>
      <c r="F230" s="1" t="s">
        <v>776</v>
      </c>
      <c r="G230" s="1" t="s">
        <v>48</v>
      </c>
      <c r="H230" s="2" t="s">
        <v>17</v>
      </c>
      <c r="I230" s="1" t="s">
        <v>50</v>
      </c>
      <c r="J230" s="2" t="s">
        <v>27</v>
      </c>
    </row>
    <row r="231" spans="1:10" ht="15.9" customHeight="1" x14ac:dyDescent="0.3">
      <c r="A231" s="3" t="s">
        <v>777</v>
      </c>
      <c r="B231" s="4" t="s">
        <v>184</v>
      </c>
      <c r="C231" s="4" t="s">
        <v>22</v>
      </c>
      <c r="D231" s="4" t="s">
        <v>778</v>
      </c>
      <c r="E231" s="4" t="s">
        <v>186</v>
      </c>
      <c r="F231" s="3" t="s">
        <v>409</v>
      </c>
      <c r="G231" s="3" t="s">
        <v>111</v>
      </c>
      <c r="H231" s="4" t="s">
        <v>49</v>
      </c>
      <c r="I231" s="3"/>
      <c r="J231" s="4" t="s">
        <v>19</v>
      </c>
    </row>
    <row r="232" spans="1:10" ht="15.9" customHeight="1" x14ac:dyDescent="0.3">
      <c r="A232" s="1" t="s">
        <v>779</v>
      </c>
      <c r="B232" s="2" t="s">
        <v>114</v>
      </c>
      <c r="C232" s="2"/>
      <c r="D232" s="2" t="s">
        <v>30</v>
      </c>
      <c r="E232" s="2" t="s">
        <v>95</v>
      </c>
      <c r="F232" s="1" t="s">
        <v>572</v>
      </c>
      <c r="G232" s="1" t="s">
        <v>54</v>
      </c>
      <c r="H232" s="2" t="s">
        <v>83</v>
      </c>
      <c r="I232" s="1" t="s">
        <v>50</v>
      </c>
      <c r="J232" s="2" t="s">
        <v>27</v>
      </c>
    </row>
    <row r="233" spans="1:10" ht="15.9" customHeight="1" x14ac:dyDescent="0.3">
      <c r="A233" s="3" t="s">
        <v>780</v>
      </c>
      <c r="B233" s="4" t="s">
        <v>202</v>
      </c>
      <c r="C233" s="4" t="s">
        <v>37</v>
      </c>
      <c r="D233" s="4" t="s">
        <v>30</v>
      </c>
      <c r="E233" s="4" t="s">
        <v>781</v>
      </c>
      <c r="F233" s="3" t="s">
        <v>466</v>
      </c>
      <c r="G233" s="3" t="s">
        <v>48</v>
      </c>
      <c r="H233" s="4" t="s">
        <v>17</v>
      </c>
      <c r="I233" s="3"/>
      <c r="J233" s="4" t="s">
        <v>91</v>
      </c>
    </row>
    <row r="234" spans="1:10" ht="15.9" customHeight="1" x14ac:dyDescent="0.3">
      <c r="A234" s="1" t="s">
        <v>782</v>
      </c>
      <c r="B234" s="2" t="s">
        <v>75</v>
      </c>
      <c r="C234" s="2" t="s">
        <v>12</v>
      </c>
      <c r="D234" s="2" t="s">
        <v>783</v>
      </c>
      <c r="E234" s="2" t="s">
        <v>784</v>
      </c>
      <c r="F234" s="1" t="s">
        <v>549</v>
      </c>
      <c r="G234" s="1" t="s">
        <v>111</v>
      </c>
      <c r="H234" s="2"/>
      <c r="I234" s="1" t="s">
        <v>216</v>
      </c>
      <c r="J234" s="2" t="s">
        <v>51</v>
      </c>
    </row>
    <row r="235" spans="1:10" ht="15.9" customHeight="1" x14ac:dyDescent="0.3">
      <c r="A235" s="3" t="s">
        <v>785</v>
      </c>
      <c r="B235" s="4" t="s">
        <v>29</v>
      </c>
      <c r="C235" s="4" t="s">
        <v>119</v>
      </c>
      <c r="D235" s="4"/>
      <c r="E235" s="4" t="s">
        <v>786</v>
      </c>
      <c r="F235" s="3" t="s">
        <v>368</v>
      </c>
      <c r="G235" s="3" t="s">
        <v>41</v>
      </c>
      <c r="H235" s="4" t="s">
        <v>65</v>
      </c>
      <c r="I235" s="3"/>
      <c r="J235" s="4" t="s">
        <v>91</v>
      </c>
    </row>
    <row r="236" spans="1:10" ht="15.9" customHeight="1" x14ac:dyDescent="0.3">
      <c r="A236" s="1" t="s">
        <v>787</v>
      </c>
      <c r="B236" s="2" t="s">
        <v>134</v>
      </c>
      <c r="C236" s="2" t="s">
        <v>62</v>
      </c>
      <c r="D236" s="2" t="s">
        <v>788</v>
      </c>
      <c r="E236" s="2" t="s">
        <v>789</v>
      </c>
      <c r="F236" s="1" t="s">
        <v>790</v>
      </c>
      <c r="G236" s="1" t="s">
        <v>41</v>
      </c>
      <c r="H236" s="2" t="s">
        <v>49</v>
      </c>
      <c r="I236" s="1" t="s">
        <v>18</v>
      </c>
      <c r="J236" s="2" t="s">
        <v>91</v>
      </c>
    </row>
    <row r="237" spans="1:10" ht="15.9" customHeight="1" x14ac:dyDescent="0.3">
      <c r="A237" s="3" t="s">
        <v>791</v>
      </c>
      <c r="B237" s="4" t="s">
        <v>75</v>
      </c>
      <c r="C237" s="4"/>
      <c r="D237" s="4" t="s">
        <v>792</v>
      </c>
      <c r="E237" s="4"/>
      <c r="F237" s="3" t="s">
        <v>296</v>
      </c>
      <c r="G237" s="3" t="s">
        <v>142</v>
      </c>
      <c r="H237" s="4" t="s">
        <v>25</v>
      </c>
      <c r="I237" s="3" t="s">
        <v>216</v>
      </c>
      <c r="J237" s="4" t="s">
        <v>19</v>
      </c>
    </row>
    <row r="238" spans="1:10" ht="15.9" customHeight="1" x14ac:dyDescent="0.3">
      <c r="A238" s="1" t="s">
        <v>793</v>
      </c>
      <c r="B238" s="2" t="s">
        <v>303</v>
      </c>
      <c r="C238" s="2" t="s">
        <v>12</v>
      </c>
      <c r="D238" s="2"/>
      <c r="E238" s="2" t="s">
        <v>794</v>
      </c>
      <c r="F238" s="1" t="s">
        <v>565</v>
      </c>
      <c r="G238" s="1" t="s">
        <v>41</v>
      </c>
      <c r="H238" s="2" t="s">
        <v>83</v>
      </c>
      <c r="I238" s="1" t="s">
        <v>26</v>
      </c>
      <c r="J238" s="2" t="s">
        <v>34</v>
      </c>
    </row>
    <row r="239" spans="1:10" ht="15.9" customHeight="1" x14ac:dyDescent="0.3">
      <c r="A239" s="3" t="s">
        <v>795</v>
      </c>
      <c r="B239" s="4" t="s">
        <v>206</v>
      </c>
      <c r="C239" s="4" t="s">
        <v>62</v>
      </c>
      <c r="D239" s="4" t="s">
        <v>30</v>
      </c>
      <c r="E239" s="4" t="s">
        <v>30</v>
      </c>
      <c r="F239" s="3" t="s">
        <v>187</v>
      </c>
      <c r="G239" s="3" t="s">
        <v>48</v>
      </c>
      <c r="H239" s="4" t="s">
        <v>83</v>
      </c>
      <c r="I239" s="3" t="s">
        <v>26</v>
      </c>
      <c r="J239" s="4" t="s">
        <v>19</v>
      </c>
    </row>
    <row r="240" spans="1:10" ht="15.9" customHeight="1" x14ac:dyDescent="0.3">
      <c r="A240" s="1" t="s">
        <v>796</v>
      </c>
      <c r="B240" s="2" t="s">
        <v>381</v>
      </c>
      <c r="C240" s="2" t="s">
        <v>62</v>
      </c>
      <c r="D240" s="2" t="s">
        <v>30</v>
      </c>
      <c r="E240" s="2" t="s">
        <v>797</v>
      </c>
      <c r="F240" s="1" t="s">
        <v>798</v>
      </c>
      <c r="G240" s="1" t="s">
        <v>41</v>
      </c>
      <c r="H240" s="2" t="s">
        <v>72</v>
      </c>
      <c r="I240" s="1"/>
      <c r="J240" s="2" t="s">
        <v>66</v>
      </c>
    </row>
    <row r="241" spans="1:10" ht="15.9" customHeight="1" x14ac:dyDescent="0.3">
      <c r="A241" s="3" t="s">
        <v>799</v>
      </c>
      <c r="B241" s="4" t="s">
        <v>102</v>
      </c>
      <c r="C241" s="4" t="s">
        <v>119</v>
      </c>
      <c r="D241" s="4" t="s">
        <v>800</v>
      </c>
      <c r="E241" s="4" t="s">
        <v>801</v>
      </c>
      <c r="F241" s="3" t="s">
        <v>802</v>
      </c>
      <c r="G241" s="3" t="s">
        <v>48</v>
      </c>
      <c r="H241" s="4" t="s">
        <v>125</v>
      </c>
      <c r="I241" s="3" t="s">
        <v>26</v>
      </c>
      <c r="J241" s="4" t="s">
        <v>66</v>
      </c>
    </row>
    <row r="242" spans="1:10" ht="15.9" customHeight="1" x14ac:dyDescent="0.3">
      <c r="A242" s="1" t="s">
        <v>803</v>
      </c>
      <c r="B242" s="2" t="s">
        <v>202</v>
      </c>
      <c r="C242" s="2" t="s">
        <v>119</v>
      </c>
      <c r="D242" s="2" t="s">
        <v>804</v>
      </c>
      <c r="E242" s="2" t="s">
        <v>805</v>
      </c>
      <c r="F242" s="1" t="s">
        <v>379</v>
      </c>
      <c r="G242" s="1" t="s">
        <v>54</v>
      </c>
      <c r="H242" s="2" t="s">
        <v>49</v>
      </c>
      <c r="I242" s="1" t="s">
        <v>216</v>
      </c>
      <c r="J242" s="2" t="s">
        <v>91</v>
      </c>
    </row>
    <row r="243" spans="1:10" ht="15.9" customHeight="1" x14ac:dyDescent="0.3">
      <c r="A243" s="3" t="s">
        <v>806</v>
      </c>
      <c r="B243" s="4" t="s">
        <v>354</v>
      </c>
      <c r="C243" s="4" t="s">
        <v>45</v>
      </c>
      <c r="D243" s="4"/>
      <c r="E243" s="4" t="s">
        <v>30</v>
      </c>
      <c r="F243" s="3" t="s">
        <v>409</v>
      </c>
      <c r="G243" s="3" t="s">
        <v>33</v>
      </c>
      <c r="H243" s="4" t="s">
        <v>65</v>
      </c>
      <c r="I243" s="3" t="s">
        <v>26</v>
      </c>
      <c r="J243" s="4" t="s">
        <v>91</v>
      </c>
    </row>
    <row r="244" spans="1:10" ht="15.9" customHeight="1" x14ac:dyDescent="0.3">
      <c r="A244" s="1" t="s">
        <v>807</v>
      </c>
      <c r="B244" s="2" t="s">
        <v>93</v>
      </c>
      <c r="C244" s="2" t="s">
        <v>12</v>
      </c>
      <c r="D244" s="2"/>
      <c r="E244" s="2" t="s">
        <v>808</v>
      </c>
      <c r="F244" s="1" t="s">
        <v>809</v>
      </c>
      <c r="G244" s="1" t="s">
        <v>79</v>
      </c>
      <c r="H244" s="2" t="s">
        <v>72</v>
      </c>
      <c r="I244" s="1" t="s">
        <v>112</v>
      </c>
      <c r="J244" s="2" t="s">
        <v>34</v>
      </c>
    </row>
    <row r="245" spans="1:10" ht="15.9" customHeight="1" x14ac:dyDescent="0.3">
      <c r="A245" s="3" t="s">
        <v>810</v>
      </c>
      <c r="B245" s="4" t="s">
        <v>118</v>
      </c>
      <c r="C245" s="4" t="s">
        <v>22</v>
      </c>
      <c r="D245" s="4" t="s">
        <v>811</v>
      </c>
      <c r="E245" s="4" t="s">
        <v>812</v>
      </c>
      <c r="F245" s="3" t="s">
        <v>243</v>
      </c>
      <c r="G245" s="3" t="s">
        <v>48</v>
      </c>
      <c r="H245" s="4" t="s">
        <v>49</v>
      </c>
      <c r="I245" s="3" t="s">
        <v>112</v>
      </c>
      <c r="J245" s="4" t="s">
        <v>106</v>
      </c>
    </row>
    <row r="246" spans="1:10" ht="15.9" customHeight="1" x14ac:dyDescent="0.3">
      <c r="A246" s="1" t="s">
        <v>813</v>
      </c>
      <c r="B246" s="2" t="s">
        <v>184</v>
      </c>
      <c r="C246" s="2" t="s">
        <v>62</v>
      </c>
      <c r="D246" s="2" t="s">
        <v>814</v>
      </c>
      <c r="E246" s="2" t="s">
        <v>815</v>
      </c>
      <c r="F246" s="1" t="s">
        <v>485</v>
      </c>
      <c r="G246" s="1" t="s">
        <v>142</v>
      </c>
      <c r="H246" s="2" t="s">
        <v>83</v>
      </c>
      <c r="I246" s="1" t="s">
        <v>112</v>
      </c>
      <c r="J246" s="2" t="s">
        <v>143</v>
      </c>
    </row>
    <row r="247" spans="1:10" ht="15.9" customHeight="1" x14ac:dyDescent="0.3">
      <c r="A247" s="3" t="s">
        <v>816</v>
      </c>
      <c r="B247" s="4" t="s">
        <v>354</v>
      </c>
      <c r="C247" s="4" t="s">
        <v>12</v>
      </c>
      <c r="D247" s="4"/>
      <c r="E247" s="4" t="s">
        <v>817</v>
      </c>
      <c r="F247" s="3" t="s">
        <v>96</v>
      </c>
      <c r="G247" s="3" t="s">
        <v>33</v>
      </c>
      <c r="H247" s="4" t="s">
        <v>42</v>
      </c>
      <c r="I247" s="3" t="s">
        <v>18</v>
      </c>
      <c r="J247" s="4" t="s">
        <v>34</v>
      </c>
    </row>
    <row r="248" spans="1:10" ht="15.9" customHeight="1" x14ac:dyDescent="0.3">
      <c r="A248" s="1" t="s">
        <v>341</v>
      </c>
      <c r="B248" s="2" t="s">
        <v>165</v>
      </c>
      <c r="C248" s="2" t="s">
        <v>45</v>
      </c>
      <c r="D248" s="2" t="s">
        <v>30</v>
      </c>
      <c r="E248" s="2" t="s">
        <v>30</v>
      </c>
      <c r="F248" s="1" t="s">
        <v>416</v>
      </c>
      <c r="G248" s="1" t="s">
        <v>33</v>
      </c>
      <c r="H248" s="2" t="s">
        <v>25</v>
      </c>
      <c r="I248" s="1" t="s">
        <v>112</v>
      </c>
      <c r="J248" s="2" t="s">
        <v>19</v>
      </c>
    </row>
    <row r="249" spans="1:10" ht="15.9" customHeight="1" x14ac:dyDescent="0.3">
      <c r="A249" s="3" t="s">
        <v>818</v>
      </c>
      <c r="B249" s="4" t="s">
        <v>61</v>
      </c>
      <c r="C249" s="4" t="s">
        <v>37</v>
      </c>
      <c r="D249" s="4"/>
      <c r="E249" s="4"/>
      <c r="F249" s="3" t="s">
        <v>819</v>
      </c>
      <c r="G249" s="3" t="s">
        <v>79</v>
      </c>
      <c r="H249" s="4" t="s">
        <v>25</v>
      </c>
      <c r="I249" s="3" t="s">
        <v>216</v>
      </c>
      <c r="J249" s="4" t="s">
        <v>106</v>
      </c>
    </row>
    <row r="250" spans="1:10" ht="15.9" customHeight="1" x14ac:dyDescent="0.3">
      <c r="A250" s="1" t="s">
        <v>820</v>
      </c>
      <c r="B250" s="2" t="s">
        <v>202</v>
      </c>
      <c r="C250" s="2" t="s">
        <v>22</v>
      </c>
      <c r="D250" s="2" t="s">
        <v>821</v>
      </c>
      <c r="E250" s="2" t="s">
        <v>822</v>
      </c>
      <c r="F250" s="1" t="s">
        <v>823</v>
      </c>
      <c r="G250" s="1" t="s">
        <v>111</v>
      </c>
      <c r="H250" s="2" t="s">
        <v>72</v>
      </c>
      <c r="I250" s="1"/>
      <c r="J250" s="2" t="s">
        <v>66</v>
      </c>
    </row>
    <row r="251" spans="1:10" ht="15.9" customHeight="1" x14ac:dyDescent="0.3">
      <c r="A251" s="3" t="s">
        <v>824</v>
      </c>
      <c r="B251" s="4" t="s">
        <v>44</v>
      </c>
      <c r="C251" s="4" t="s">
        <v>37</v>
      </c>
      <c r="D251" s="4"/>
      <c r="E251" s="4"/>
      <c r="F251" s="3" t="s">
        <v>825</v>
      </c>
      <c r="G251" s="3" t="s">
        <v>16</v>
      </c>
      <c r="H251" s="4" t="s">
        <v>72</v>
      </c>
      <c r="I251" s="3" t="s">
        <v>18</v>
      </c>
      <c r="J251" s="4" t="s">
        <v>66</v>
      </c>
    </row>
    <row r="252" spans="1:10" ht="15.9" customHeight="1" x14ac:dyDescent="0.3">
      <c r="A252" s="1" t="s">
        <v>826</v>
      </c>
      <c r="B252" s="2" t="s">
        <v>202</v>
      </c>
      <c r="C252" s="2" t="s">
        <v>12</v>
      </c>
      <c r="D252" s="2" t="s">
        <v>827</v>
      </c>
      <c r="E252" s="2" t="s">
        <v>828</v>
      </c>
      <c r="F252" s="1" t="s">
        <v>681</v>
      </c>
      <c r="G252" s="1" t="s">
        <v>142</v>
      </c>
      <c r="H252" s="2" t="s">
        <v>65</v>
      </c>
      <c r="I252" s="1" t="s">
        <v>216</v>
      </c>
      <c r="J252" s="2" t="s">
        <v>19</v>
      </c>
    </row>
    <row r="253" spans="1:10" ht="15.9" customHeight="1" x14ac:dyDescent="0.3">
      <c r="A253" s="3" t="s">
        <v>829</v>
      </c>
      <c r="B253" s="4" t="s">
        <v>108</v>
      </c>
      <c r="C253" s="4"/>
      <c r="D253" s="4" t="s">
        <v>830</v>
      </c>
      <c r="E253" s="4" t="s">
        <v>831</v>
      </c>
      <c r="F253" s="3" t="s">
        <v>147</v>
      </c>
      <c r="G253" s="3" t="s">
        <v>54</v>
      </c>
      <c r="H253" s="4" t="s">
        <v>49</v>
      </c>
      <c r="I253" s="3" t="s">
        <v>50</v>
      </c>
      <c r="J253" s="4" t="s">
        <v>19</v>
      </c>
    </row>
    <row r="254" spans="1:10" ht="15.9" customHeight="1" x14ac:dyDescent="0.3">
      <c r="A254" s="1" t="s">
        <v>832</v>
      </c>
      <c r="B254" s="2" t="s">
        <v>56</v>
      </c>
      <c r="C254" s="2" t="s">
        <v>62</v>
      </c>
      <c r="D254" s="2" t="s">
        <v>833</v>
      </c>
      <c r="E254" s="2"/>
      <c r="F254" s="1" t="s">
        <v>509</v>
      </c>
      <c r="G254" s="1" t="s">
        <v>33</v>
      </c>
      <c r="H254" s="2" t="s">
        <v>83</v>
      </c>
      <c r="I254" s="1" t="s">
        <v>18</v>
      </c>
      <c r="J254" s="2" t="s">
        <v>66</v>
      </c>
    </row>
    <row r="255" spans="1:10" ht="15.9" customHeight="1" x14ac:dyDescent="0.3">
      <c r="A255" s="3" t="s">
        <v>834</v>
      </c>
      <c r="B255" s="4" t="s">
        <v>157</v>
      </c>
      <c r="C255" s="4" t="s">
        <v>62</v>
      </c>
      <c r="D255" s="4" t="s">
        <v>835</v>
      </c>
      <c r="E255" s="4" t="s">
        <v>30</v>
      </c>
      <c r="F255" s="3" t="s">
        <v>836</v>
      </c>
      <c r="G255" s="3" t="s">
        <v>79</v>
      </c>
      <c r="H255" s="4" t="s">
        <v>49</v>
      </c>
      <c r="I255" s="3" t="s">
        <v>26</v>
      </c>
      <c r="J255" s="4" t="s">
        <v>143</v>
      </c>
    </row>
    <row r="256" spans="1:10" ht="15.9" customHeight="1" x14ac:dyDescent="0.3">
      <c r="A256" s="1" t="s">
        <v>837</v>
      </c>
      <c r="B256" s="2" t="s">
        <v>240</v>
      </c>
      <c r="C256" s="2" t="s">
        <v>12</v>
      </c>
      <c r="D256" s="2" t="s">
        <v>30</v>
      </c>
      <c r="E256" s="2"/>
      <c r="F256" s="1" t="s">
        <v>838</v>
      </c>
      <c r="G256" s="1" t="s">
        <v>41</v>
      </c>
      <c r="H256" s="2" t="s">
        <v>42</v>
      </c>
      <c r="I256" s="1" t="s">
        <v>73</v>
      </c>
      <c r="J256" s="2" t="s">
        <v>106</v>
      </c>
    </row>
    <row r="257" spans="1:10" ht="15.9" customHeight="1" x14ac:dyDescent="0.3">
      <c r="A257" s="3" t="s">
        <v>839</v>
      </c>
      <c r="B257" s="4" t="s">
        <v>88</v>
      </c>
      <c r="C257" s="4"/>
      <c r="D257" s="4" t="s">
        <v>840</v>
      </c>
      <c r="E257" s="4" t="s">
        <v>841</v>
      </c>
      <c r="F257" s="3" t="s">
        <v>64</v>
      </c>
      <c r="G257" s="3" t="s">
        <v>111</v>
      </c>
      <c r="H257" s="4" t="s">
        <v>42</v>
      </c>
      <c r="I257" s="3"/>
      <c r="J257" s="4" t="s">
        <v>143</v>
      </c>
    </row>
    <row r="258" spans="1:10" ht="15.9" customHeight="1" x14ac:dyDescent="0.3">
      <c r="A258" s="1" t="s">
        <v>842</v>
      </c>
      <c r="B258" s="2" t="s">
        <v>108</v>
      </c>
      <c r="C258" s="2"/>
      <c r="D258" s="2"/>
      <c r="E258" s="2" t="s">
        <v>843</v>
      </c>
      <c r="F258" s="1" t="s">
        <v>141</v>
      </c>
      <c r="G258" s="1" t="s">
        <v>111</v>
      </c>
      <c r="H258" s="2" t="s">
        <v>65</v>
      </c>
      <c r="I258" s="1" t="s">
        <v>112</v>
      </c>
      <c r="J258" s="2" t="s">
        <v>34</v>
      </c>
    </row>
    <row r="259" spans="1:10" ht="15.9" customHeight="1" x14ac:dyDescent="0.3">
      <c r="A259" s="3" t="s">
        <v>844</v>
      </c>
      <c r="B259" s="4" t="s">
        <v>68</v>
      </c>
      <c r="C259" s="4"/>
      <c r="D259" s="4" t="s">
        <v>845</v>
      </c>
      <c r="E259" s="4" t="s">
        <v>846</v>
      </c>
      <c r="F259" s="3" t="s">
        <v>288</v>
      </c>
      <c r="G259" s="3" t="s">
        <v>16</v>
      </c>
      <c r="H259" s="4" t="s">
        <v>83</v>
      </c>
      <c r="I259" s="3" t="s">
        <v>50</v>
      </c>
      <c r="J259" s="4" t="s">
        <v>143</v>
      </c>
    </row>
    <row r="260" spans="1:10" ht="15.9" customHeight="1" x14ac:dyDescent="0.3">
      <c r="A260" s="1" t="s">
        <v>847</v>
      </c>
      <c r="B260" s="2" t="s">
        <v>134</v>
      </c>
      <c r="C260" s="2"/>
      <c r="D260" s="2"/>
      <c r="E260" s="2" t="s">
        <v>30</v>
      </c>
      <c r="F260" s="1" t="s">
        <v>848</v>
      </c>
      <c r="G260" s="1" t="s">
        <v>111</v>
      </c>
      <c r="H260" s="2" t="s">
        <v>83</v>
      </c>
      <c r="I260" s="1" t="s">
        <v>216</v>
      </c>
      <c r="J260" s="2" t="s">
        <v>106</v>
      </c>
    </row>
    <row r="261" spans="1:10" ht="15.9" customHeight="1" x14ac:dyDescent="0.3">
      <c r="A261" s="3" t="s">
        <v>849</v>
      </c>
      <c r="B261" s="4" t="s">
        <v>98</v>
      </c>
      <c r="C261" s="4" t="s">
        <v>45</v>
      </c>
      <c r="D261" s="4" t="s">
        <v>850</v>
      </c>
      <c r="E261" s="4" t="s">
        <v>851</v>
      </c>
      <c r="F261" s="3" t="s">
        <v>461</v>
      </c>
      <c r="G261" s="3" t="s">
        <v>33</v>
      </c>
      <c r="H261" s="4" t="s">
        <v>49</v>
      </c>
      <c r="I261" s="3" t="s">
        <v>50</v>
      </c>
      <c r="J261" s="4" t="s">
        <v>143</v>
      </c>
    </row>
    <row r="262" spans="1:10" ht="15.9" customHeight="1" x14ac:dyDescent="0.3">
      <c r="A262" s="1" t="s">
        <v>852</v>
      </c>
      <c r="B262" s="2" t="s">
        <v>354</v>
      </c>
      <c r="C262" s="2" t="s">
        <v>119</v>
      </c>
      <c r="D262" s="2"/>
      <c r="E262" s="2" t="s">
        <v>853</v>
      </c>
      <c r="F262" s="1" t="s">
        <v>854</v>
      </c>
      <c r="G262" s="1" t="s">
        <v>142</v>
      </c>
      <c r="H262" s="2" t="s">
        <v>17</v>
      </c>
      <c r="I262" s="1" t="s">
        <v>26</v>
      </c>
      <c r="J262" s="2" t="s">
        <v>34</v>
      </c>
    </row>
    <row r="263" spans="1:10" ht="15.9" customHeight="1" x14ac:dyDescent="0.3">
      <c r="A263" s="3" t="s">
        <v>855</v>
      </c>
      <c r="B263" s="4" t="s">
        <v>184</v>
      </c>
      <c r="C263" s="4" t="s">
        <v>45</v>
      </c>
      <c r="D263" s="4" t="s">
        <v>856</v>
      </c>
      <c r="E263" s="4" t="s">
        <v>30</v>
      </c>
      <c r="F263" s="3" t="s">
        <v>857</v>
      </c>
      <c r="G263" s="3" t="s">
        <v>54</v>
      </c>
      <c r="H263" s="4" t="s">
        <v>25</v>
      </c>
      <c r="I263" s="3" t="s">
        <v>216</v>
      </c>
      <c r="J263" s="4" t="s">
        <v>143</v>
      </c>
    </row>
    <row r="264" spans="1:10" ht="15.9" customHeight="1" x14ac:dyDescent="0.3">
      <c r="A264" s="1" t="s">
        <v>858</v>
      </c>
      <c r="B264" s="2" t="s">
        <v>108</v>
      </c>
      <c r="C264" s="2" t="s">
        <v>37</v>
      </c>
      <c r="D264" s="2" t="s">
        <v>859</v>
      </c>
      <c r="E264" s="2" t="s">
        <v>30</v>
      </c>
      <c r="F264" s="1" t="s">
        <v>860</v>
      </c>
      <c r="G264" s="1" t="s">
        <v>54</v>
      </c>
      <c r="H264" s="2" t="s">
        <v>72</v>
      </c>
      <c r="I264" s="1" t="s">
        <v>26</v>
      </c>
      <c r="J264" s="2" t="s">
        <v>106</v>
      </c>
    </row>
    <row r="265" spans="1:10" ht="15.9" customHeight="1" x14ac:dyDescent="0.3">
      <c r="A265" s="3" t="s">
        <v>861</v>
      </c>
      <c r="B265" s="4" t="s">
        <v>108</v>
      </c>
      <c r="C265" s="4" t="s">
        <v>22</v>
      </c>
      <c r="D265" s="4"/>
      <c r="E265" s="4" t="s">
        <v>862</v>
      </c>
      <c r="F265" s="3" t="s">
        <v>863</v>
      </c>
      <c r="G265" s="3" t="s">
        <v>41</v>
      </c>
      <c r="H265" s="4" t="s">
        <v>72</v>
      </c>
      <c r="I265" s="3" t="s">
        <v>50</v>
      </c>
      <c r="J265" s="4" t="s">
        <v>34</v>
      </c>
    </row>
    <row r="266" spans="1:10" ht="15.9" customHeight="1" x14ac:dyDescent="0.3">
      <c r="A266" s="1" t="s">
        <v>864</v>
      </c>
      <c r="B266" s="2" t="s">
        <v>597</v>
      </c>
      <c r="C266" s="2" t="s">
        <v>12</v>
      </c>
      <c r="D266" s="2" t="s">
        <v>865</v>
      </c>
      <c r="E266" s="2" t="s">
        <v>324</v>
      </c>
      <c r="F266" s="1" t="s">
        <v>776</v>
      </c>
      <c r="G266" s="1" t="s">
        <v>111</v>
      </c>
      <c r="H266" s="2" t="s">
        <v>25</v>
      </c>
      <c r="I266" s="1" t="s">
        <v>216</v>
      </c>
      <c r="J266" s="2" t="s">
        <v>106</v>
      </c>
    </row>
    <row r="267" spans="1:10" ht="15.9" customHeight="1" x14ac:dyDescent="0.3">
      <c r="A267" s="3" t="s">
        <v>866</v>
      </c>
      <c r="B267" s="4" t="s">
        <v>36</v>
      </c>
      <c r="C267" s="4"/>
      <c r="D267" s="4" t="s">
        <v>867</v>
      </c>
      <c r="E267" s="4" t="s">
        <v>868</v>
      </c>
      <c r="F267" s="3" t="s">
        <v>357</v>
      </c>
      <c r="G267" s="3" t="s">
        <v>33</v>
      </c>
      <c r="H267" s="4" t="s">
        <v>65</v>
      </c>
      <c r="I267" s="3" t="s">
        <v>26</v>
      </c>
      <c r="J267" s="4" t="s">
        <v>91</v>
      </c>
    </row>
    <row r="268" spans="1:10" ht="15.9" customHeight="1" x14ac:dyDescent="0.3">
      <c r="A268" s="1" t="s">
        <v>869</v>
      </c>
      <c r="B268" s="2" t="s">
        <v>202</v>
      </c>
      <c r="C268" s="2" t="s">
        <v>22</v>
      </c>
      <c r="D268" s="2" t="s">
        <v>870</v>
      </c>
      <c r="E268" s="2"/>
      <c r="F268" s="1" t="s">
        <v>802</v>
      </c>
      <c r="G268" s="1" t="s">
        <v>33</v>
      </c>
      <c r="H268" s="2" t="s">
        <v>83</v>
      </c>
      <c r="I268" s="1" t="s">
        <v>112</v>
      </c>
      <c r="J268" s="2" t="s">
        <v>66</v>
      </c>
    </row>
    <row r="269" spans="1:10" ht="15.9" customHeight="1" x14ac:dyDescent="0.3">
      <c r="A269" s="3" t="s">
        <v>310</v>
      </c>
      <c r="B269" s="4" t="s">
        <v>21</v>
      </c>
      <c r="C269" s="4"/>
      <c r="D269" s="4" t="s">
        <v>30</v>
      </c>
      <c r="E269" s="4" t="s">
        <v>871</v>
      </c>
      <c r="F269" s="3" t="s">
        <v>171</v>
      </c>
      <c r="G269" s="3" t="s">
        <v>111</v>
      </c>
      <c r="H269" s="4" t="s">
        <v>25</v>
      </c>
      <c r="I269" s="3" t="s">
        <v>50</v>
      </c>
      <c r="J269" s="4" t="s">
        <v>51</v>
      </c>
    </row>
    <row r="270" spans="1:10" ht="15.9" customHeight="1" x14ac:dyDescent="0.3">
      <c r="A270" s="1" t="s">
        <v>872</v>
      </c>
      <c r="B270" s="2" t="s">
        <v>227</v>
      </c>
      <c r="C270" s="2" t="s">
        <v>12</v>
      </c>
      <c r="D270" s="2" t="s">
        <v>873</v>
      </c>
      <c r="E270" s="2" t="s">
        <v>30</v>
      </c>
      <c r="F270" s="1" t="s">
        <v>281</v>
      </c>
      <c r="G270" s="1" t="s">
        <v>33</v>
      </c>
      <c r="H270" s="2" t="s">
        <v>125</v>
      </c>
      <c r="I270" s="1" t="s">
        <v>26</v>
      </c>
      <c r="J270" s="2" t="s">
        <v>27</v>
      </c>
    </row>
    <row r="271" spans="1:10" ht="15.9" customHeight="1" x14ac:dyDescent="0.3">
      <c r="A271" s="3" t="s">
        <v>874</v>
      </c>
      <c r="B271" s="4" t="s">
        <v>118</v>
      </c>
      <c r="C271" s="4" t="s">
        <v>12</v>
      </c>
      <c r="D271" s="4" t="s">
        <v>875</v>
      </c>
      <c r="E271" s="4" t="s">
        <v>876</v>
      </c>
      <c r="F271" s="3" t="s">
        <v>877</v>
      </c>
      <c r="G271" s="3" t="s">
        <v>41</v>
      </c>
      <c r="H271" s="4" t="s">
        <v>72</v>
      </c>
      <c r="I271" s="3" t="s">
        <v>50</v>
      </c>
      <c r="J271" s="4" t="s">
        <v>34</v>
      </c>
    </row>
    <row r="272" spans="1:10" ht="15.9" customHeight="1" x14ac:dyDescent="0.3">
      <c r="A272" s="1" t="s">
        <v>358</v>
      </c>
      <c r="B272" s="2" t="s">
        <v>184</v>
      </c>
      <c r="C272" s="2" t="s">
        <v>119</v>
      </c>
      <c r="D272" s="2" t="s">
        <v>878</v>
      </c>
      <c r="E272" s="2" t="s">
        <v>879</v>
      </c>
      <c r="F272" s="1" t="s">
        <v>880</v>
      </c>
      <c r="G272" s="1" t="s">
        <v>54</v>
      </c>
      <c r="H272" s="2" t="s">
        <v>25</v>
      </c>
      <c r="I272" s="1"/>
      <c r="J272" s="2" t="s">
        <v>34</v>
      </c>
    </row>
    <row r="273" spans="1:10" ht="15.9" customHeight="1" x14ac:dyDescent="0.3">
      <c r="A273" s="3" t="s">
        <v>881</v>
      </c>
      <c r="B273" s="4" t="s">
        <v>597</v>
      </c>
      <c r="C273" s="4"/>
      <c r="D273" s="4" t="s">
        <v>882</v>
      </c>
      <c r="E273" s="4" t="s">
        <v>469</v>
      </c>
      <c r="F273" s="3" t="s">
        <v>883</v>
      </c>
      <c r="G273" s="3" t="s">
        <v>142</v>
      </c>
      <c r="H273" s="4" t="s">
        <v>72</v>
      </c>
      <c r="I273" s="3" t="s">
        <v>73</v>
      </c>
      <c r="J273" s="4" t="s">
        <v>51</v>
      </c>
    </row>
    <row r="274" spans="1:10" ht="15.9" customHeight="1" x14ac:dyDescent="0.3">
      <c r="A274" s="1" t="s">
        <v>884</v>
      </c>
      <c r="B274" s="2" t="s">
        <v>56</v>
      </c>
      <c r="C274" s="2" t="s">
        <v>37</v>
      </c>
      <c r="D274" s="2" t="s">
        <v>885</v>
      </c>
      <c r="E274" s="2" t="s">
        <v>30</v>
      </c>
      <c r="F274" s="1" t="s">
        <v>200</v>
      </c>
      <c r="G274" s="1" t="s">
        <v>33</v>
      </c>
      <c r="H274" s="2" t="s">
        <v>17</v>
      </c>
      <c r="I274" s="1" t="s">
        <v>18</v>
      </c>
      <c r="J274" s="2"/>
    </row>
    <row r="275" spans="1:10" ht="15.9" customHeight="1" x14ac:dyDescent="0.3">
      <c r="A275" s="3" t="s">
        <v>886</v>
      </c>
      <c r="B275" s="4" t="s">
        <v>202</v>
      </c>
      <c r="C275" s="4" t="s">
        <v>12</v>
      </c>
      <c r="D275" s="4" t="s">
        <v>887</v>
      </c>
      <c r="E275" s="4" t="s">
        <v>888</v>
      </c>
      <c r="F275" s="3" t="s">
        <v>889</v>
      </c>
      <c r="G275" s="3" t="s">
        <v>33</v>
      </c>
      <c r="H275" s="4" t="s">
        <v>83</v>
      </c>
      <c r="I275" s="3" t="s">
        <v>26</v>
      </c>
      <c r="J275" s="4" t="s">
        <v>66</v>
      </c>
    </row>
    <row r="276" spans="1:10" ht="15.9" customHeight="1" x14ac:dyDescent="0.3">
      <c r="A276" s="1" t="s">
        <v>890</v>
      </c>
      <c r="B276" s="2" t="s">
        <v>240</v>
      </c>
      <c r="C276" s="2" t="s">
        <v>62</v>
      </c>
      <c r="D276" s="2" t="s">
        <v>891</v>
      </c>
      <c r="E276" s="2"/>
      <c r="F276" s="1" t="s">
        <v>892</v>
      </c>
      <c r="G276" s="1" t="s">
        <v>142</v>
      </c>
      <c r="H276" s="2" t="s">
        <v>83</v>
      </c>
      <c r="I276" s="1" t="s">
        <v>112</v>
      </c>
      <c r="J276" s="2" t="s">
        <v>106</v>
      </c>
    </row>
    <row r="277" spans="1:10" ht="15.9" customHeight="1" x14ac:dyDescent="0.3">
      <c r="A277" s="3" t="s">
        <v>893</v>
      </c>
      <c r="B277" s="4" t="s">
        <v>157</v>
      </c>
      <c r="C277" s="4" t="s">
        <v>22</v>
      </c>
      <c r="D277" s="4" t="s">
        <v>894</v>
      </c>
      <c r="E277" s="4" t="s">
        <v>775</v>
      </c>
      <c r="F277" s="3" t="s">
        <v>90</v>
      </c>
      <c r="G277" s="3" t="s">
        <v>48</v>
      </c>
      <c r="H277" s="4" t="s">
        <v>65</v>
      </c>
      <c r="I277" s="3" t="s">
        <v>216</v>
      </c>
      <c r="J277" s="4" t="s">
        <v>19</v>
      </c>
    </row>
    <row r="278" spans="1:10" ht="15.9" customHeight="1" x14ac:dyDescent="0.3">
      <c r="A278" s="1" t="s">
        <v>895</v>
      </c>
      <c r="B278" s="2" t="s">
        <v>134</v>
      </c>
      <c r="C278" s="2" t="s">
        <v>22</v>
      </c>
      <c r="D278" s="2" t="s">
        <v>30</v>
      </c>
      <c r="E278" s="2" t="s">
        <v>30</v>
      </c>
      <c r="F278" s="1" t="s">
        <v>232</v>
      </c>
      <c r="G278" s="1" t="s">
        <v>41</v>
      </c>
      <c r="H278" s="2" t="s">
        <v>42</v>
      </c>
      <c r="I278" s="1" t="s">
        <v>73</v>
      </c>
      <c r="J278" s="2" t="s">
        <v>143</v>
      </c>
    </row>
    <row r="279" spans="1:10" ht="15.9" customHeight="1" x14ac:dyDescent="0.3">
      <c r="A279" s="3" t="s">
        <v>896</v>
      </c>
      <c r="B279" s="4" t="s">
        <v>98</v>
      </c>
      <c r="C279" s="4" t="s">
        <v>22</v>
      </c>
      <c r="D279" s="4" t="s">
        <v>897</v>
      </c>
      <c r="E279" s="4" t="s">
        <v>898</v>
      </c>
      <c r="F279" s="3" t="s">
        <v>899</v>
      </c>
      <c r="G279" s="3" t="s">
        <v>41</v>
      </c>
      <c r="H279" s="4" t="s">
        <v>83</v>
      </c>
      <c r="I279" s="3" t="s">
        <v>216</v>
      </c>
      <c r="J279" s="4" t="s">
        <v>27</v>
      </c>
    </row>
    <row r="280" spans="1:10" ht="15.9" customHeight="1" x14ac:dyDescent="0.3">
      <c r="A280" s="1" t="s">
        <v>900</v>
      </c>
      <c r="B280" s="2" t="s">
        <v>61</v>
      </c>
      <c r="C280" s="2" t="s">
        <v>37</v>
      </c>
      <c r="D280" s="2" t="s">
        <v>901</v>
      </c>
      <c r="E280" s="2" t="s">
        <v>902</v>
      </c>
      <c r="F280" s="1" t="s">
        <v>903</v>
      </c>
      <c r="G280" s="1" t="s">
        <v>142</v>
      </c>
      <c r="H280" s="2"/>
      <c r="I280" s="1" t="s">
        <v>18</v>
      </c>
      <c r="J280" s="2" t="s">
        <v>66</v>
      </c>
    </row>
    <row r="281" spans="1:10" ht="15.9" customHeight="1" x14ac:dyDescent="0.3">
      <c r="A281" s="3" t="s">
        <v>904</v>
      </c>
      <c r="B281" s="4" t="s">
        <v>108</v>
      </c>
      <c r="C281" s="4"/>
      <c r="D281" s="4" t="s">
        <v>905</v>
      </c>
      <c r="E281" s="4" t="s">
        <v>906</v>
      </c>
      <c r="F281" s="3" t="s">
        <v>907</v>
      </c>
      <c r="G281" s="3" t="s">
        <v>41</v>
      </c>
      <c r="H281" s="4" t="s">
        <v>25</v>
      </c>
      <c r="I281" s="3" t="s">
        <v>216</v>
      </c>
      <c r="J281" s="4" t="s">
        <v>106</v>
      </c>
    </row>
    <row r="282" spans="1:10" ht="15.9" customHeight="1" x14ac:dyDescent="0.3">
      <c r="A282" s="1" t="s">
        <v>908</v>
      </c>
      <c r="B282" s="2" t="s">
        <v>93</v>
      </c>
      <c r="C282" s="2" t="s">
        <v>45</v>
      </c>
      <c r="D282" s="2" t="s">
        <v>909</v>
      </c>
      <c r="E282" s="2"/>
      <c r="F282" s="1" t="s">
        <v>649</v>
      </c>
      <c r="G282" s="1" t="s">
        <v>111</v>
      </c>
      <c r="H282" s="2" t="s">
        <v>42</v>
      </c>
      <c r="I282" s="1" t="s">
        <v>50</v>
      </c>
      <c r="J282" s="2" t="s">
        <v>19</v>
      </c>
    </row>
    <row r="283" spans="1:10" ht="15.9" customHeight="1" x14ac:dyDescent="0.3">
      <c r="A283" s="3" t="s">
        <v>910</v>
      </c>
      <c r="B283" s="4" t="s">
        <v>102</v>
      </c>
      <c r="C283" s="4"/>
      <c r="D283" s="4"/>
      <c r="E283" s="4" t="s">
        <v>30</v>
      </c>
      <c r="F283" s="3" t="s">
        <v>178</v>
      </c>
      <c r="G283" s="3" t="s">
        <v>16</v>
      </c>
      <c r="H283" s="4" t="s">
        <v>83</v>
      </c>
      <c r="I283" s="3" t="s">
        <v>216</v>
      </c>
      <c r="J283" s="4" t="s">
        <v>34</v>
      </c>
    </row>
    <row r="284" spans="1:10" ht="15.9" customHeight="1" x14ac:dyDescent="0.3">
      <c r="A284" s="1" t="s">
        <v>911</v>
      </c>
      <c r="B284" s="2" t="s">
        <v>36</v>
      </c>
      <c r="C284" s="2" t="s">
        <v>12</v>
      </c>
      <c r="D284" s="2" t="s">
        <v>912</v>
      </c>
      <c r="E284" s="2" t="s">
        <v>868</v>
      </c>
      <c r="F284" s="1" t="s">
        <v>836</v>
      </c>
      <c r="G284" s="1" t="s">
        <v>142</v>
      </c>
      <c r="H284" s="2" t="s">
        <v>65</v>
      </c>
      <c r="I284" s="1" t="s">
        <v>112</v>
      </c>
      <c r="J284" s="2" t="s">
        <v>143</v>
      </c>
    </row>
    <row r="285" spans="1:10" ht="15.9" customHeight="1" x14ac:dyDescent="0.3">
      <c r="A285" s="3" t="s">
        <v>913</v>
      </c>
      <c r="B285" s="4" t="s">
        <v>75</v>
      </c>
      <c r="C285" s="4" t="s">
        <v>12</v>
      </c>
      <c r="D285" s="4" t="s">
        <v>914</v>
      </c>
      <c r="E285" s="4" t="s">
        <v>915</v>
      </c>
      <c r="F285" s="3" t="s">
        <v>916</v>
      </c>
      <c r="G285" s="3" t="s">
        <v>142</v>
      </c>
      <c r="H285" s="4" t="s">
        <v>72</v>
      </c>
      <c r="I285" s="3" t="s">
        <v>26</v>
      </c>
      <c r="J285" s="4" t="s">
        <v>91</v>
      </c>
    </row>
    <row r="286" spans="1:10" ht="15.9" customHeight="1" x14ac:dyDescent="0.3">
      <c r="A286" s="1" t="s">
        <v>917</v>
      </c>
      <c r="B286" s="2" t="s">
        <v>202</v>
      </c>
      <c r="C286" s="2" t="s">
        <v>119</v>
      </c>
      <c r="D286" s="2" t="s">
        <v>918</v>
      </c>
      <c r="E286" s="2"/>
      <c r="F286" s="1" t="s">
        <v>195</v>
      </c>
      <c r="G286" s="1" t="s">
        <v>16</v>
      </c>
      <c r="H286" s="2" t="s">
        <v>83</v>
      </c>
      <c r="I286" s="1"/>
      <c r="J286" s="2" t="s">
        <v>91</v>
      </c>
    </row>
    <row r="287" spans="1:10" ht="15.9" customHeight="1" x14ac:dyDescent="0.3">
      <c r="A287" s="3" t="s">
        <v>919</v>
      </c>
      <c r="B287" s="4" t="s">
        <v>342</v>
      </c>
      <c r="C287" s="4" t="s">
        <v>119</v>
      </c>
      <c r="D287" s="4" t="s">
        <v>920</v>
      </c>
      <c r="E287" s="4" t="s">
        <v>921</v>
      </c>
      <c r="F287" s="3" t="s">
        <v>922</v>
      </c>
      <c r="G287" s="3" t="s">
        <v>79</v>
      </c>
      <c r="H287" s="4" t="s">
        <v>72</v>
      </c>
      <c r="I287" s="3" t="s">
        <v>112</v>
      </c>
      <c r="J287" s="4" t="s">
        <v>143</v>
      </c>
    </row>
    <row r="288" spans="1:10" ht="15.9" customHeight="1" x14ac:dyDescent="0.3">
      <c r="A288" s="1" t="s">
        <v>434</v>
      </c>
      <c r="B288" s="2" t="s">
        <v>165</v>
      </c>
      <c r="C288" s="2" t="s">
        <v>62</v>
      </c>
      <c r="D288" s="2" t="s">
        <v>923</v>
      </c>
      <c r="E288" s="2" t="s">
        <v>374</v>
      </c>
      <c r="F288" s="1" t="s">
        <v>160</v>
      </c>
      <c r="G288" s="1" t="s">
        <v>142</v>
      </c>
      <c r="H288" s="2" t="s">
        <v>17</v>
      </c>
      <c r="I288" s="1"/>
      <c r="J288" s="2" t="s">
        <v>34</v>
      </c>
    </row>
    <row r="289" spans="1:10" ht="15.9" customHeight="1" x14ac:dyDescent="0.3">
      <c r="A289" s="3" t="s">
        <v>924</v>
      </c>
      <c r="B289" s="4" t="s">
        <v>157</v>
      </c>
      <c r="C289" s="4"/>
      <c r="D289" s="4" t="s">
        <v>925</v>
      </c>
      <c r="E289" s="4" t="s">
        <v>926</v>
      </c>
      <c r="F289" s="3" t="s">
        <v>579</v>
      </c>
      <c r="G289" s="3" t="s">
        <v>54</v>
      </c>
      <c r="H289" s="4" t="s">
        <v>72</v>
      </c>
      <c r="I289" s="3" t="s">
        <v>216</v>
      </c>
      <c r="J289" s="4" t="s">
        <v>106</v>
      </c>
    </row>
    <row r="290" spans="1:10" ht="15.9" customHeight="1" x14ac:dyDescent="0.3">
      <c r="A290" s="1" t="s">
        <v>52</v>
      </c>
      <c r="B290" s="2" t="s">
        <v>75</v>
      </c>
      <c r="C290" s="2"/>
      <c r="D290" s="2" t="s">
        <v>927</v>
      </c>
      <c r="E290" s="2" t="s">
        <v>30</v>
      </c>
      <c r="F290" s="1" t="s">
        <v>773</v>
      </c>
      <c r="G290" s="1" t="s">
        <v>41</v>
      </c>
      <c r="H290" s="2" t="s">
        <v>42</v>
      </c>
      <c r="I290" s="1" t="s">
        <v>73</v>
      </c>
      <c r="J290" s="2" t="s">
        <v>106</v>
      </c>
    </row>
    <row r="291" spans="1:10" ht="15.9" customHeight="1" x14ac:dyDescent="0.3">
      <c r="A291" s="3" t="s">
        <v>928</v>
      </c>
      <c r="B291" s="4" t="s">
        <v>29</v>
      </c>
      <c r="C291" s="4" t="s">
        <v>22</v>
      </c>
      <c r="D291" s="4" t="s">
        <v>929</v>
      </c>
      <c r="E291" s="4" t="s">
        <v>930</v>
      </c>
      <c r="F291" s="3" t="s">
        <v>848</v>
      </c>
      <c r="G291" s="3" t="s">
        <v>48</v>
      </c>
      <c r="H291" s="4" t="s">
        <v>72</v>
      </c>
      <c r="I291" s="3" t="s">
        <v>216</v>
      </c>
      <c r="J291" s="4"/>
    </row>
    <row r="292" spans="1:10" ht="15.9" customHeight="1" x14ac:dyDescent="0.3">
      <c r="A292" s="1" t="s">
        <v>931</v>
      </c>
      <c r="B292" s="2" t="s">
        <v>354</v>
      </c>
      <c r="C292" s="2" t="s">
        <v>37</v>
      </c>
      <c r="D292" s="2" t="s">
        <v>932</v>
      </c>
      <c r="E292" s="2"/>
      <c r="F292" s="1" t="s">
        <v>933</v>
      </c>
      <c r="G292" s="1" t="s">
        <v>142</v>
      </c>
      <c r="H292" s="2" t="s">
        <v>17</v>
      </c>
      <c r="I292" s="1" t="s">
        <v>26</v>
      </c>
      <c r="J292" s="2"/>
    </row>
    <row r="293" spans="1:10" ht="15.9" customHeight="1" x14ac:dyDescent="0.3">
      <c r="A293" s="3" t="s">
        <v>934</v>
      </c>
      <c r="B293" s="4" t="s">
        <v>197</v>
      </c>
      <c r="C293" s="4" t="s">
        <v>119</v>
      </c>
      <c r="D293" s="4"/>
      <c r="E293" s="4" t="s">
        <v>935</v>
      </c>
      <c r="F293" s="3" t="s">
        <v>453</v>
      </c>
      <c r="G293" s="3" t="s">
        <v>54</v>
      </c>
      <c r="H293" s="4" t="s">
        <v>125</v>
      </c>
      <c r="I293" s="3" t="s">
        <v>26</v>
      </c>
      <c r="J293" s="4" t="s">
        <v>143</v>
      </c>
    </row>
    <row r="294" spans="1:10" ht="15.9" customHeight="1" x14ac:dyDescent="0.3">
      <c r="A294" s="1" t="s">
        <v>936</v>
      </c>
      <c r="B294" s="2" t="s">
        <v>56</v>
      </c>
      <c r="C294" s="2"/>
      <c r="D294" s="2" t="s">
        <v>937</v>
      </c>
      <c r="E294" s="2" t="s">
        <v>30</v>
      </c>
      <c r="F294" s="1" t="s">
        <v>545</v>
      </c>
      <c r="G294" s="1" t="s">
        <v>54</v>
      </c>
      <c r="H294" s="2" t="s">
        <v>72</v>
      </c>
      <c r="I294" s="1" t="s">
        <v>50</v>
      </c>
      <c r="J294" s="2" t="s">
        <v>91</v>
      </c>
    </row>
    <row r="295" spans="1:10" ht="15.9" customHeight="1" x14ac:dyDescent="0.3">
      <c r="A295" s="3" t="s">
        <v>938</v>
      </c>
      <c r="B295" s="4" t="s">
        <v>44</v>
      </c>
      <c r="C295" s="4" t="s">
        <v>37</v>
      </c>
      <c r="D295" s="4"/>
      <c r="E295" s="4"/>
      <c r="F295" s="3" t="s">
        <v>939</v>
      </c>
      <c r="G295" s="3" t="s">
        <v>48</v>
      </c>
      <c r="H295" s="4" t="s">
        <v>42</v>
      </c>
      <c r="I295" s="3" t="s">
        <v>73</v>
      </c>
      <c r="J295" s="4" t="s">
        <v>106</v>
      </c>
    </row>
    <row r="296" spans="1:10" ht="15.9" customHeight="1" x14ac:dyDescent="0.3">
      <c r="A296" s="1" t="s">
        <v>940</v>
      </c>
      <c r="B296" s="2" t="s">
        <v>11</v>
      </c>
      <c r="C296" s="2" t="s">
        <v>45</v>
      </c>
      <c r="D296" s="2" t="s">
        <v>941</v>
      </c>
      <c r="E296" s="2" t="s">
        <v>942</v>
      </c>
      <c r="F296" s="1" t="s">
        <v>943</v>
      </c>
      <c r="G296" s="1" t="s">
        <v>142</v>
      </c>
      <c r="H296" s="2" t="s">
        <v>65</v>
      </c>
      <c r="I296" s="1" t="s">
        <v>26</v>
      </c>
      <c r="J296" s="2" t="s">
        <v>19</v>
      </c>
    </row>
    <row r="297" spans="1:10" ht="15.9" customHeight="1" x14ac:dyDescent="0.3">
      <c r="A297" s="3" t="s">
        <v>944</v>
      </c>
      <c r="B297" s="4" t="s">
        <v>56</v>
      </c>
      <c r="C297" s="4"/>
      <c r="D297" s="4"/>
      <c r="E297" s="4" t="s">
        <v>945</v>
      </c>
      <c r="F297" s="3" t="s">
        <v>892</v>
      </c>
      <c r="G297" s="3" t="s">
        <v>41</v>
      </c>
      <c r="H297" s="4" t="s">
        <v>49</v>
      </c>
      <c r="I297" s="3" t="s">
        <v>112</v>
      </c>
      <c r="J297" s="4" t="s">
        <v>66</v>
      </c>
    </row>
    <row r="298" spans="1:10" ht="15.9" customHeight="1" x14ac:dyDescent="0.3">
      <c r="A298" s="1" t="s">
        <v>946</v>
      </c>
      <c r="B298" s="2" t="s">
        <v>118</v>
      </c>
      <c r="C298" s="2" t="s">
        <v>62</v>
      </c>
      <c r="D298" s="2" t="s">
        <v>947</v>
      </c>
      <c r="E298" s="2" t="s">
        <v>30</v>
      </c>
      <c r="F298" s="1" t="s">
        <v>948</v>
      </c>
      <c r="G298" s="1" t="s">
        <v>48</v>
      </c>
      <c r="H298" s="2" t="s">
        <v>25</v>
      </c>
      <c r="I298" s="1" t="s">
        <v>73</v>
      </c>
      <c r="J298" s="2" t="s">
        <v>19</v>
      </c>
    </row>
    <row r="299" spans="1:10" ht="15.9" customHeight="1" x14ac:dyDescent="0.3">
      <c r="A299" s="3" t="s">
        <v>949</v>
      </c>
      <c r="B299" s="4" t="s">
        <v>303</v>
      </c>
      <c r="C299" s="4"/>
      <c r="D299" s="4" t="s">
        <v>30</v>
      </c>
      <c r="E299" s="4" t="s">
        <v>762</v>
      </c>
      <c r="F299" s="3" t="s">
        <v>916</v>
      </c>
      <c r="G299" s="3" t="s">
        <v>41</v>
      </c>
      <c r="H299" s="4" t="s">
        <v>49</v>
      </c>
      <c r="I299" s="3"/>
      <c r="J299" s="4" t="s">
        <v>66</v>
      </c>
    </row>
    <row r="300" spans="1:10" ht="15.9" customHeight="1" x14ac:dyDescent="0.3">
      <c r="A300" s="1" t="s">
        <v>950</v>
      </c>
      <c r="B300" s="2" t="s">
        <v>303</v>
      </c>
      <c r="C300" s="2" t="s">
        <v>22</v>
      </c>
      <c r="D300" s="2" t="s">
        <v>951</v>
      </c>
      <c r="E300" s="2" t="s">
        <v>952</v>
      </c>
      <c r="F300" s="1" t="s">
        <v>59</v>
      </c>
      <c r="G300" s="1" t="s">
        <v>41</v>
      </c>
      <c r="H300" s="2" t="s">
        <v>125</v>
      </c>
      <c r="I300" s="1" t="s">
        <v>73</v>
      </c>
      <c r="J300" s="2" t="s">
        <v>143</v>
      </c>
    </row>
    <row r="301" spans="1:10" ht="15.9" customHeight="1" x14ac:dyDescent="0.3">
      <c r="A301" s="3" t="s">
        <v>953</v>
      </c>
      <c r="B301" s="4" t="s">
        <v>381</v>
      </c>
      <c r="C301" s="4" t="s">
        <v>119</v>
      </c>
      <c r="D301" s="4"/>
      <c r="E301" s="4"/>
      <c r="F301" s="3" t="s">
        <v>954</v>
      </c>
      <c r="G301" s="3" t="s">
        <v>48</v>
      </c>
      <c r="H301" s="4" t="s">
        <v>125</v>
      </c>
      <c r="I301" s="3" t="s">
        <v>18</v>
      </c>
      <c r="J301" s="4"/>
    </row>
    <row r="302" spans="1:10" ht="15.9" customHeight="1" x14ac:dyDescent="0.3">
      <c r="A302" s="1" t="s">
        <v>955</v>
      </c>
      <c r="B302" s="2" t="s">
        <v>149</v>
      </c>
      <c r="C302" s="2" t="s">
        <v>37</v>
      </c>
      <c r="D302" s="2" t="s">
        <v>956</v>
      </c>
      <c r="E302" s="2"/>
      <c r="F302" s="1" t="s">
        <v>957</v>
      </c>
      <c r="G302" s="1" t="s">
        <v>33</v>
      </c>
      <c r="H302" s="2" t="s">
        <v>42</v>
      </c>
      <c r="I302" s="1"/>
      <c r="J302" s="2" t="s">
        <v>19</v>
      </c>
    </row>
    <row r="303" spans="1:10" ht="15.9" customHeight="1" x14ac:dyDescent="0.3">
      <c r="A303" s="3" t="s">
        <v>958</v>
      </c>
      <c r="B303" s="4" t="s">
        <v>342</v>
      </c>
      <c r="C303" s="4" t="s">
        <v>22</v>
      </c>
      <c r="D303" s="4" t="s">
        <v>959</v>
      </c>
      <c r="E303" s="4" t="s">
        <v>960</v>
      </c>
      <c r="F303" s="3" t="s">
        <v>961</v>
      </c>
      <c r="G303" s="3" t="s">
        <v>33</v>
      </c>
      <c r="H303" s="4" t="s">
        <v>17</v>
      </c>
      <c r="I303" s="3" t="s">
        <v>112</v>
      </c>
      <c r="J303" s="4"/>
    </row>
    <row r="304" spans="1:10" ht="15.9" customHeight="1" x14ac:dyDescent="0.3">
      <c r="A304" s="1" t="s">
        <v>962</v>
      </c>
      <c r="B304" s="2" t="s">
        <v>102</v>
      </c>
      <c r="C304" s="2" t="s">
        <v>62</v>
      </c>
      <c r="D304" s="2" t="s">
        <v>963</v>
      </c>
      <c r="E304" s="2" t="s">
        <v>964</v>
      </c>
      <c r="F304" s="1" t="s">
        <v>293</v>
      </c>
      <c r="G304" s="1" t="s">
        <v>48</v>
      </c>
      <c r="H304" s="2" t="s">
        <v>42</v>
      </c>
      <c r="I304" s="1" t="s">
        <v>73</v>
      </c>
      <c r="J304" s="2"/>
    </row>
    <row r="305" spans="1:10" ht="15.9" customHeight="1" x14ac:dyDescent="0.3">
      <c r="A305" s="3" t="s">
        <v>965</v>
      </c>
      <c r="B305" s="4" t="s">
        <v>61</v>
      </c>
      <c r="C305" s="4" t="s">
        <v>45</v>
      </c>
      <c r="D305" s="4" t="s">
        <v>966</v>
      </c>
      <c r="E305" s="4" t="s">
        <v>967</v>
      </c>
      <c r="F305" s="3" t="s">
        <v>505</v>
      </c>
      <c r="G305" s="3" t="s">
        <v>41</v>
      </c>
      <c r="H305" s="4"/>
      <c r="I305" s="3" t="s">
        <v>26</v>
      </c>
      <c r="J305" s="4" t="s">
        <v>91</v>
      </c>
    </row>
    <row r="306" spans="1:10" ht="15.9" customHeight="1" x14ac:dyDescent="0.3">
      <c r="A306" s="1" t="s">
        <v>968</v>
      </c>
      <c r="B306" s="2" t="s">
        <v>463</v>
      </c>
      <c r="C306" s="2" t="s">
        <v>12</v>
      </c>
      <c r="D306" s="2" t="s">
        <v>969</v>
      </c>
      <c r="E306" s="2" t="s">
        <v>970</v>
      </c>
      <c r="F306" s="1" t="s">
        <v>288</v>
      </c>
      <c r="G306" s="1" t="s">
        <v>111</v>
      </c>
      <c r="H306" s="2"/>
      <c r="I306" s="1" t="s">
        <v>26</v>
      </c>
      <c r="J306" s="2" t="s">
        <v>66</v>
      </c>
    </row>
    <row r="307" spans="1:10" ht="15.9" customHeight="1" x14ac:dyDescent="0.3">
      <c r="A307" s="3" t="s">
        <v>971</v>
      </c>
      <c r="B307" s="4" t="s">
        <v>290</v>
      </c>
      <c r="C307" s="4" t="s">
        <v>119</v>
      </c>
      <c r="D307" s="4" t="s">
        <v>972</v>
      </c>
      <c r="E307" s="4" t="s">
        <v>868</v>
      </c>
      <c r="F307" s="3" t="s">
        <v>191</v>
      </c>
      <c r="G307" s="3" t="s">
        <v>54</v>
      </c>
      <c r="H307" s="4" t="s">
        <v>125</v>
      </c>
      <c r="I307" s="3"/>
      <c r="J307" s="4" t="s">
        <v>143</v>
      </c>
    </row>
    <row r="308" spans="1:10" ht="15.9" customHeight="1" x14ac:dyDescent="0.3">
      <c r="A308" s="1" t="s">
        <v>973</v>
      </c>
      <c r="B308" s="2" t="s">
        <v>647</v>
      </c>
      <c r="C308" s="2" t="s">
        <v>45</v>
      </c>
      <c r="D308" s="2"/>
      <c r="E308" s="2" t="s">
        <v>30</v>
      </c>
      <c r="F308" s="1" t="s">
        <v>974</v>
      </c>
      <c r="G308" s="1" t="s">
        <v>48</v>
      </c>
      <c r="H308" s="2" t="s">
        <v>65</v>
      </c>
      <c r="I308" s="1" t="s">
        <v>50</v>
      </c>
      <c r="J308" s="2" t="s">
        <v>51</v>
      </c>
    </row>
    <row r="309" spans="1:10" ht="15.9" customHeight="1" x14ac:dyDescent="0.3">
      <c r="A309" s="3" t="s">
        <v>975</v>
      </c>
      <c r="B309" s="4" t="s">
        <v>75</v>
      </c>
      <c r="C309" s="4" t="s">
        <v>37</v>
      </c>
      <c r="D309" s="4" t="s">
        <v>976</v>
      </c>
      <c r="E309" s="4" t="s">
        <v>977</v>
      </c>
      <c r="F309" s="3" t="s">
        <v>978</v>
      </c>
      <c r="G309" s="3" t="s">
        <v>79</v>
      </c>
      <c r="H309" s="4" t="s">
        <v>72</v>
      </c>
      <c r="I309" s="3" t="s">
        <v>73</v>
      </c>
      <c r="J309" s="4" t="s">
        <v>66</v>
      </c>
    </row>
    <row r="310" spans="1:10" ht="15.9" customHeight="1" x14ac:dyDescent="0.3">
      <c r="A310" s="1" t="s">
        <v>979</v>
      </c>
      <c r="B310" s="2" t="s">
        <v>93</v>
      </c>
      <c r="C310" s="2" t="s">
        <v>119</v>
      </c>
      <c r="D310" s="2" t="s">
        <v>980</v>
      </c>
      <c r="E310" s="2" t="s">
        <v>981</v>
      </c>
      <c r="F310" s="1" t="s">
        <v>599</v>
      </c>
      <c r="G310" s="1" t="s">
        <v>16</v>
      </c>
      <c r="H310" s="2" t="s">
        <v>42</v>
      </c>
      <c r="I310" s="1" t="s">
        <v>112</v>
      </c>
      <c r="J310" s="2" t="s">
        <v>34</v>
      </c>
    </row>
    <row r="311" spans="1:10" ht="15.9" customHeight="1" x14ac:dyDescent="0.3">
      <c r="A311" s="3" t="s">
        <v>982</v>
      </c>
      <c r="B311" s="4" t="s">
        <v>88</v>
      </c>
      <c r="C311" s="4"/>
      <c r="D311" s="4" t="s">
        <v>983</v>
      </c>
      <c r="E311" s="4" t="s">
        <v>30</v>
      </c>
      <c r="F311" s="3" t="s">
        <v>883</v>
      </c>
      <c r="G311" s="3" t="s">
        <v>111</v>
      </c>
      <c r="H311" s="4" t="s">
        <v>42</v>
      </c>
      <c r="I311" s="3" t="s">
        <v>18</v>
      </c>
      <c r="J311" s="4" t="s">
        <v>66</v>
      </c>
    </row>
    <row r="312" spans="1:10" ht="15.9" customHeight="1" x14ac:dyDescent="0.3">
      <c r="A312" s="1" t="s">
        <v>984</v>
      </c>
      <c r="B312" s="2" t="s">
        <v>68</v>
      </c>
      <c r="C312" s="2" t="s">
        <v>62</v>
      </c>
      <c r="D312" s="2" t="s">
        <v>985</v>
      </c>
      <c r="E312" s="2" t="s">
        <v>30</v>
      </c>
      <c r="F312" s="1" t="s">
        <v>171</v>
      </c>
      <c r="G312" s="1" t="s">
        <v>54</v>
      </c>
      <c r="H312" s="2" t="s">
        <v>72</v>
      </c>
      <c r="I312" s="1" t="s">
        <v>216</v>
      </c>
      <c r="J312" s="2" t="s">
        <v>66</v>
      </c>
    </row>
    <row r="313" spans="1:10" ht="15.9" customHeight="1" x14ac:dyDescent="0.3">
      <c r="A313" s="3" t="s">
        <v>986</v>
      </c>
      <c r="B313" s="4" t="s">
        <v>202</v>
      </c>
      <c r="C313" s="4" t="s">
        <v>45</v>
      </c>
      <c r="D313" s="4" t="s">
        <v>30</v>
      </c>
      <c r="E313" s="4"/>
      <c r="F313" s="3" t="s">
        <v>987</v>
      </c>
      <c r="G313" s="3" t="s">
        <v>111</v>
      </c>
      <c r="H313" s="4" t="s">
        <v>42</v>
      </c>
      <c r="I313" s="3" t="s">
        <v>18</v>
      </c>
      <c r="J313" s="4" t="s">
        <v>106</v>
      </c>
    </row>
    <row r="314" spans="1:10" ht="15.9" customHeight="1" x14ac:dyDescent="0.3">
      <c r="A314" s="1" t="s">
        <v>988</v>
      </c>
      <c r="B314" s="2" t="s">
        <v>197</v>
      </c>
      <c r="C314" s="2" t="s">
        <v>62</v>
      </c>
      <c r="D314" s="2" t="s">
        <v>989</v>
      </c>
      <c r="E314" s="2"/>
      <c r="F314" s="1" t="s">
        <v>632</v>
      </c>
      <c r="G314" s="1" t="s">
        <v>79</v>
      </c>
      <c r="H314" s="2" t="s">
        <v>49</v>
      </c>
      <c r="I314" s="1" t="s">
        <v>26</v>
      </c>
      <c r="J314" s="2" t="s">
        <v>91</v>
      </c>
    </row>
    <row r="315" spans="1:10" ht="15.9" customHeight="1" x14ac:dyDescent="0.3">
      <c r="A315" s="3" t="s">
        <v>990</v>
      </c>
      <c r="B315" s="4" t="s">
        <v>165</v>
      </c>
      <c r="C315" s="4" t="s">
        <v>62</v>
      </c>
      <c r="D315" s="4" t="s">
        <v>991</v>
      </c>
      <c r="E315" s="4" t="s">
        <v>30</v>
      </c>
      <c r="F315" s="3" t="s">
        <v>329</v>
      </c>
      <c r="G315" s="3" t="s">
        <v>54</v>
      </c>
      <c r="H315" s="4" t="s">
        <v>25</v>
      </c>
      <c r="I315" s="3" t="s">
        <v>50</v>
      </c>
      <c r="J315" s="4" t="s">
        <v>143</v>
      </c>
    </row>
    <row r="316" spans="1:10" ht="15.9" customHeight="1" x14ac:dyDescent="0.3">
      <c r="A316" s="1" t="s">
        <v>992</v>
      </c>
      <c r="B316" s="2" t="s">
        <v>102</v>
      </c>
      <c r="C316" s="2"/>
      <c r="D316" s="2" t="s">
        <v>993</v>
      </c>
      <c r="E316" s="2" t="s">
        <v>921</v>
      </c>
      <c r="F316" s="1" t="s">
        <v>681</v>
      </c>
      <c r="G316" s="1" t="s">
        <v>79</v>
      </c>
      <c r="H316" s="2" t="s">
        <v>25</v>
      </c>
      <c r="I316" s="1" t="s">
        <v>26</v>
      </c>
      <c r="J316" s="2" t="s">
        <v>34</v>
      </c>
    </row>
    <row r="317" spans="1:10" ht="15.9" customHeight="1" x14ac:dyDescent="0.3">
      <c r="A317" s="3" t="s">
        <v>994</v>
      </c>
      <c r="B317" s="4" t="s">
        <v>206</v>
      </c>
      <c r="C317" s="4" t="s">
        <v>37</v>
      </c>
      <c r="D317" s="4" t="s">
        <v>995</v>
      </c>
      <c r="E317" s="4" t="s">
        <v>996</v>
      </c>
      <c r="F317" s="3" t="s">
        <v>47</v>
      </c>
      <c r="G317" s="3" t="s">
        <v>79</v>
      </c>
      <c r="H317" s="4" t="s">
        <v>42</v>
      </c>
      <c r="I317" s="3" t="s">
        <v>216</v>
      </c>
      <c r="J317" s="4" t="s">
        <v>51</v>
      </c>
    </row>
    <row r="318" spans="1:10" ht="15.9" customHeight="1" x14ac:dyDescent="0.3">
      <c r="A318" s="1" t="s">
        <v>997</v>
      </c>
      <c r="B318" s="2" t="s">
        <v>75</v>
      </c>
      <c r="C318" s="2" t="s">
        <v>119</v>
      </c>
      <c r="D318" s="2"/>
      <c r="E318" s="2" t="s">
        <v>99</v>
      </c>
      <c r="F318" s="1" t="s">
        <v>174</v>
      </c>
      <c r="G318" s="1" t="s">
        <v>41</v>
      </c>
      <c r="H318" s="2" t="s">
        <v>83</v>
      </c>
      <c r="I318" s="1" t="s">
        <v>26</v>
      </c>
      <c r="J318" s="2" t="s">
        <v>34</v>
      </c>
    </row>
    <row r="319" spans="1:10" ht="15.9" customHeight="1" x14ac:dyDescent="0.3">
      <c r="A319" s="3" t="s">
        <v>998</v>
      </c>
      <c r="B319" s="4" t="s">
        <v>44</v>
      </c>
      <c r="C319" s="4" t="s">
        <v>62</v>
      </c>
      <c r="D319" s="4" t="s">
        <v>999</v>
      </c>
      <c r="E319" s="4" t="s">
        <v>1000</v>
      </c>
      <c r="F319" s="3" t="s">
        <v>277</v>
      </c>
      <c r="G319" s="3" t="s">
        <v>54</v>
      </c>
      <c r="H319" s="4" t="s">
        <v>49</v>
      </c>
      <c r="I319" s="3" t="s">
        <v>18</v>
      </c>
      <c r="J319" s="4" t="s">
        <v>51</v>
      </c>
    </row>
    <row r="320" spans="1:10" ht="15.9" customHeight="1" x14ac:dyDescent="0.3">
      <c r="A320" s="1" t="s">
        <v>896</v>
      </c>
      <c r="B320" s="2" t="s">
        <v>463</v>
      </c>
      <c r="C320" s="2" t="s">
        <v>22</v>
      </c>
      <c r="D320" s="2" t="s">
        <v>1001</v>
      </c>
      <c r="E320" s="2" t="s">
        <v>1002</v>
      </c>
      <c r="F320" s="1" t="s">
        <v>1003</v>
      </c>
      <c r="G320" s="1" t="s">
        <v>111</v>
      </c>
      <c r="H320" s="2" t="s">
        <v>65</v>
      </c>
      <c r="I320" s="1" t="s">
        <v>112</v>
      </c>
      <c r="J320" s="2" t="s">
        <v>66</v>
      </c>
    </row>
    <row r="321" spans="1:10" ht="15.9" customHeight="1" x14ac:dyDescent="0.3">
      <c r="A321" s="3" t="s">
        <v>1004</v>
      </c>
      <c r="B321" s="4" t="s">
        <v>165</v>
      </c>
      <c r="C321" s="4"/>
      <c r="D321" s="4"/>
      <c r="E321" s="4" t="s">
        <v>30</v>
      </c>
      <c r="F321" s="3" t="s">
        <v>200</v>
      </c>
      <c r="G321" s="3" t="s">
        <v>111</v>
      </c>
      <c r="H321" s="4" t="s">
        <v>83</v>
      </c>
      <c r="I321" s="3"/>
      <c r="J321" s="4" t="s">
        <v>27</v>
      </c>
    </row>
    <row r="322" spans="1:10" ht="15.9" customHeight="1" x14ac:dyDescent="0.3">
      <c r="A322" s="1" t="s">
        <v>1005</v>
      </c>
      <c r="B322" s="2" t="s">
        <v>29</v>
      </c>
      <c r="C322" s="2" t="s">
        <v>12</v>
      </c>
      <c r="D322" s="2" t="s">
        <v>1006</v>
      </c>
      <c r="E322" s="2"/>
      <c r="F322" s="1" t="s">
        <v>259</v>
      </c>
      <c r="G322" s="1" t="s">
        <v>41</v>
      </c>
      <c r="H322" s="2" t="s">
        <v>25</v>
      </c>
      <c r="I322" s="1" t="s">
        <v>26</v>
      </c>
      <c r="J322" s="2" t="s">
        <v>27</v>
      </c>
    </row>
    <row r="323" spans="1:10" ht="15.9" customHeight="1" x14ac:dyDescent="0.3">
      <c r="A323" s="3" t="s">
        <v>1007</v>
      </c>
      <c r="B323" s="4" t="s">
        <v>11</v>
      </c>
      <c r="C323" s="4" t="s">
        <v>119</v>
      </c>
      <c r="D323" s="4" t="s">
        <v>1008</v>
      </c>
      <c r="E323" s="4" t="s">
        <v>30</v>
      </c>
      <c r="F323" s="3" t="s">
        <v>1009</v>
      </c>
      <c r="G323" s="3" t="s">
        <v>111</v>
      </c>
      <c r="H323" s="4" t="s">
        <v>42</v>
      </c>
      <c r="I323" s="3"/>
      <c r="J323" s="4" t="s">
        <v>66</v>
      </c>
    </row>
    <row r="324" spans="1:10" ht="15.9" customHeight="1" x14ac:dyDescent="0.3">
      <c r="A324" s="1" t="s">
        <v>1010</v>
      </c>
      <c r="B324" s="2" t="s">
        <v>184</v>
      </c>
      <c r="C324" s="2"/>
      <c r="D324" s="2" t="s">
        <v>1011</v>
      </c>
      <c r="E324" s="2"/>
      <c r="F324" s="1" t="s">
        <v>1012</v>
      </c>
      <c r="G324" s="1" t="s">
        <v>54</v>
      </c>
      <c r="H324" s="2" t="s">
        <v>83</v>
      </c>
      <c r="I324" s="1" t="s">
        <v>112</v>
      </c>
      <c r="J324" s="2" t="s">
        <v>51</v>
      </c>
    </row>
    <row r="325" spans="1:10" ht="15.9" customHeight="1" x14ac:dyDescent="0.3">
      <c r="A325" s="3" t="s">
        <v>1013</v>
      </c>
      <c r="B325" s="4" t="s">
        <v>11</v>
      </c>
      <c r="C325" s="4" t="s">
        <v>37</v>
      </c>
      <c r="D325" s="4" t="s">
        <v>1014</v>
      </c>
      <c r="E325" s="4" t="s">
        <v>1015</v>
      </c>
      <c r="F325" s="3" t="s">
        <v>1016</v>
      </c>
      <c r="G325" s="3" t="s">
        <v>79</v>
      </c>
      <c r="H325" s="4"/>
      <c r="I325" s="3"/>
      <c r="J325" s="4" t="s">
        <v>27</v>
      </c>
    </row>
    <row r="326" spans="1:10" ht="15.9" customHeight="1" x14ac:dyDescent="0.3">
      <c r="A326" s="1" t="s">
        <v>1017</v>
      </c>
      <c r="B326" s="2" t="s">
        <v>21</v>
      </c>
      <c r="C326" s="2" t="s">
        <v>12</v>
      </c>
      <c r="D326" s="2" t="s">
        <v>30</v>
      </c>
      <c r="E326" s="2"/>
      <c r="F326" s="1" t="s">
        <v>352</v>
      </c>
      <c r="G326" s="1" t="s">
        <v>33</v>
      </c>
      <c r="H326" s="2" t="s">
        <v>25</v>
      </c>
      <c r="I326" s="1"/>
      <c r="J326" s="2" t="s">
        <v>27</v>
      </c>
    </row>
    <row r="327" spans="1:10" ht="15.9" customHeight="1" x14ac:dyDescent="0.3">
      <c r="A327" s="3" t="s">
        <v>1018</v>
      </c>
      <c r="B327" s="4" t="s">
        <v>342</v>
      </c>
      <c r="C327" s="4" t="s">
        <v>62</v>
      </c>
      <c r="D327" s="4" t="s">
        <v>30</v>
      </c>
      <c r="E327" s="4" t="s">
        <v>469</v>
      </c>
      <c r="F327" s="3" t="s">
        <v>661</v>
      </c>
      <c r="G327" s="3" t="s">
        <v>16</v>
      </c>
      <c r="H327" s="4" t="s">
        <v>42</v>
      </c>
      <c r="I327" s="3" t="s">
        <v>26</v>
      </c>
      <c r="J327" s="4" t="s">
        <v>91</v>
      </c>
    </row>
    <row r="328" spans="1:10" ht="15.9" customHeight="1" x14ac:dyDescent="0.3">
      <c r="A328" s="1" t="s">
        <v>1019</v>
      </c>
      <c r="B328" s="2" t="s">
        <v>102</v>
      </c>
      <c r="C328" s="2"/>
      <c r="D328" s="2" t="s">
        <v>1020</v>
      </c>
      <c r="E328" s="2" t="s">
        <v>1021</v>
      </c>
      <c r="F328" s="1" t="s">
        <v>802</v>
      </c>
      <c r="G328" s="1" t="s">
        <v>111</v>
      </c>
      <c r="H328" s="2" t="s">
        <v>83</v>
      </c>
      <c r="I328" s="1" t="s">
        <v>112</v>
      </c>
      <c r="J328" s="2" t="s">
        <v>91</v>
      </c>
    </row>
    <row r="329" spans="1:10" ht="15.9" customHeight="1" x14ac:dyDescent="0.3">
      <c r="A329" s="3" t="s">
        <v>362</v>
      </c>
      <c r="B329" s="4" t="s">
        <v>184</v>
      </c>
      <c r="C329" s="4" t="s">
        <v>37</v>
      </c>
      <c r="D329" s="4" t="s">
        <v>1022</v>
      </c>
      <c r="E329" s="4" t="s">
        <v>30</v>
      </c>
      <c r="F329" s="3" t="s">
        <v>766</v>
      </c>
      <c r="G329" s="3" t="s">
        <v>79</v>
      </c>
      <c r="H329" s="4" t="s">
        <v>65</v>
      </c>
      <c r="I329" s="3" t="s">
        <v>73</v>
      </c>
      <c r="J329" s="4" t="s">
        <v>34</v>
      </c>
    </row>
    <row r="330" spans="1:10" ht="15.9" customHeight="1" x14ac:dyDescent="0.3">
      <c r="A330" s="1" t="s">
        <v>1023</v>
      </c>
      <c r="B330" s="2" t="s">
        <v>381</v>
      </c>
      <c r="C330" s="2" t="s">
        <v>37</v>
      </c>
      <c r="D330" s="2" t="s">
        <v>1024</v>
      </c>
      <c r="E330" s="2" t="s">
        <v>30</v>
      </c>
      <c r="F330" s="1" t="s">
        <v>191</v>
      </c>
      <c r="G330" s="1" t="s">
        <v>79</v>
      </c>
      <c r="H330" s="2" t="s">
        <v>72</v>
      </c>
      <c r="I330" s="1" t="s">
        <v>216</v>
      </c>
      <c r="J330" s="2" t="s">
        <v>91</v>
      </c>
    </row>
    <row r="331" spans="1:10" ht="15.9" customHeight="1" x14ac:dyDescent="0.3">
      <c r="A331" s="3" t="s">
        <v>779</v>
      </c>
      <c r="B331" s="4" t="s">
        <v>68</v>
      </c>
      <c r="C331" s="4" t="s">
        <v>62</v>
      </c>
      <c r="D331" s="4" t="s">
        <v>30</v>
      </c>
      <c r="E331" s="4" t="s">
        <v>163</v>
      </c>
      <c r="F331" s="3" t="s">
        <v>704</v>
      </c>
      <c r="G331" s="3" t="s">
        <v>41</v>
      </c>
      <c r="H331" s="4" t="s">
        <v>83</v>
      </c>
      <c r="I331" s="3" t="s">
        <v>112</v>
      </c>
      <c r="J331" s="4" t="s">
        <v>34</v>
      </c>
    </row>
    <row r="332" spans="1:10" ht="15.9" customHeight="1" x14ac:dyDescent="0.3">
      <c r="A332" s="1" t="s">
        <v>1025</v>
      </c>
      <c r="B332" s="2" t="s">
        <v>98</v>
      </c>
      <c r="C332" s="2" t="s">
        <v>45</v>
      </c>
      <c r="D332" s="2" t="s">
        <v>1026</v>
      </c>
      <c r="E332" s="2" t="s">
        <v>1027</v>
      </c>
      <c r="F332" s="1" t="s">
        <v>285</v>
      </c>
      <c r="G332" s="1" t="s">
        <v>111</v>
      </c>
      <c r="H332" s="2" t="s">
        <v>72</v>
      </c>
      <c r="I332" s="1"/>
      <c r="J332" s="2" t="s">
        <v>19</v>
      </c>
    </row>
    <row r="333" spans="1:10" ht="15.9" customHeight="1" x14ac:dyDescent="0.3">
      <c r="A333" s="3" t="s">
        <v>1028</v>
      </c>
      <c r="B333" s="4" t="s">
        <v>354</v>
      </c>
      <c r="C333" s="4"/>
      <c r="D333" s="4" t="s">
        <v>1029</v>
      </c>
      <c r="E333" s="4" t="s">
        <v>1030</v>
      </c>
      <c r="F333" s="3" t="s">
        <v>53</v>
      </c>
      <c r="G333" s="3" t="s">
        <v>16</v>
      </c>
      <c r="H333" s="4" t="s">
        <v>65</v>
      </c>
      <c r="I333" s="3" t="s">
        <v>216</v>
      </c>
      <c r="J333" s="4" t="s">
        <v>143</v>
      </c>
    </row>
    <row r="334" spans="1:10" ht="15.9" customHeight="1" x14ac:dyDescent="0.3">
      <c r="A334" s="1" t="s">
        <v>1031</v>
      </c>
      <c r="B334" s="2" t="s">
        <v>21</v>
      </c>
      <c r="C334" s="2"/>
      <c r="D334" s="2"/>
      <c r="E334" s="2" t="s">
        <v>30</v>
      </c>
      <c r="F334" s="1" t="s">
        <v>1032</v>
      </c>
      <c r="G334" s="1" t="s">
        <v>41</v>
      </c>
      <c r="H334" s="2" t="s">
        <v>17</v>
      </c>
      <c r="I334" s="1" t="s">
        <v>73</v>
      </c>
      <c r="J334" s="2"/>
    </row>
    <row r="335" spans="1:10" ht="15.9" customHeight="1" x14ac:dyDescent="0.3">
      <c r="A335" s="3" t="s">
        <v>1033</v>
      </c>
      <c r="B335" s="4" t="s">
        <v>202</v>
      </c>
      <c r="C335" s="4"/>
      <c r="D335" s="4" t="s">
        <v>1034</v>
      </c>
      <c r="E335" s="4" t="s">
        <v>898</v>
      </c>
      <c r="F335" s="3" t="s">
        <v>1035</v>
      </c>
      <c r="G335" s="3" t="s">
        <v>54</v>
      </c>
      <c r="H335" s="4" t="s">
        <v>49</v>
      </c>
      <c r="I335" s="3" t="s">
        <v>73</v>
      </c>
      <c r="J335" s="4" t="s">
        <v>27</v>
      </c>
    </row>
    <row r="336" spans="1:10" ht="15.9" customHeight="1" x14ac:dyDescent="0.3">
      <c r="A336" s="1" t="s">
        <v>1036</v>
      </c>
      <c r="B336" s="2" t="s">
        <v>98</v>
      </c>
      <c r="C336" s="2" t="s">
        <v>62</v>
      </c>
      <c r="D336" s="2" t="s">
        <v>1037</v>
      </c>
      <c r="E336" s="2" t="s">
        <v>1038</v>
      </c>
      <c r="F336" s="1" t="s">
        <v>661</v>
      </c>
      <c r="G336" s="1" t="s">
        <v>79</v>
      </c>
      <c r="H336" s="2"/>
      <c r="I336" s="1" t="s">
        <v>50</v>
      </c>
      <c r="J336" s="2" t="s">
        <v>34</v>
      </c>
    </row>
    <row r="337" spans="1:10" ht="15.9" customHeight="1" x14ac:dyDescent="0.3">
      <c r="A337" s="3" t="s">
        <v>1039</v>
      </c>
      <c r="B337" s="4" t="s">
        <v>134</v>
      </c>
      <c r="C337" s="4"/>
      <c r="D337" s="4" t="s">
        <v>1040</v>
      </c>
      <c r="E337" s="4" t="s">
        <v>762</v>
      </c>
      <c r="F337" s="3" t="s">
        <v>352</v>
      </c>
      <c r="G337" s="3" t="s">
        <v>142</v>
      </c>
      <c r="H337" s="4" t="s">
        <v>125</v>
      </c>
      <c r="I337" s="3" t="s">
        <v>112</v>
      </c>
      <c r="J337" s="4" t="s">
        <v>27</v>
      </c>
    </row>
    <row r="338" spans="1:10" ht="15.9" customHeight="1" x14ac:dyDescent="0.3">
      <c r="A338" s="1" t="s">
        <v>1041</v>
      </c>
      <c r="B338" s="2" t="s">
        <v>56</v>
      </c>
      <c r="C338" s="2" t="s">
        <v>45</v>
      </c>
      <c r="D338" s="2" t="s">
        <v>1042</v>
      </c>
      <c r="E338" s="2" t="s">
        <v>1043</v>
      </c>
      <c r="F338" s="1" t="s">
        <v>1044</v>
      </c>
      <c r="G338" s="1" t="s">
        <v>33</v>
      </c>
      <c r="H338" s="2"/>
      <c r="I338" s="1" t="s">
        <v>18</v>
      </c>
      <c r="J338" s="2" t="s">
        <v>143</v>
      </c>
    </row>
    <row r="339" spans="1:10" ht="15.9" customHeight="1" x14ac:dyDescent="0.3">
      <c r="A339" s="3" t="s">
        <v>1045</v>
      </c>
      <c r="B339" s="4" t="s">
        <v>149</v>
      </c>
      <c r="C339" s="4" t="s">
        <v>62</v>
      </c>
      <c r="D339" s="4" t="s">
        <v>30</v>
      </c>
      <c r="E339" s="4" t="s">
        <v>1046</v>
      </c>
      <c r="F339" s="3" t="s">
        <v>141</v>
      </c>
      <c r="G339" s="3" t="s">
        <v>16</v>
      </c>
      <c r="H339" s="4" t="s">
        <v>25</v>
      </c>
      <c r="I339" s="3" t="s">
        <v>50</v>
      </c>
      <c r="J339" s="4" t="s">
        <v>66</v>
      </c>
    </row>
    <row r="340" spans="1:10" ht="15.9" customHeight="1" x14ac:dyDescent="0.3">
      <c r="A340" s="1" t="s">
        <v>1047</v>
      </c>
      <c r="B340" s="2" t="s">
        <v>597</v>
      </c>
      <c r="C340" s="2" t="s">
        <v>62</v>
      </c>
      <c r="D340" s="2" t="s">
        <v>1048</v>
      </c>
      <c r="E340" s="2" t="s">
        <v>1049</v>
      </c>
      <c r="F340" s="1" t="s">
        <v>742</v>
      </c>
      <c r="G340" s="1" t="s">
        <v>54</v>
      </c>
      <c r="H340" s="2" t="s">
        <v>42</v>
      </c>
      <c r="I340" s="1" t="s">
        <v>18</v>
      </c>
      <c r="J340" s="2" t="s">
        <v>34</v>
      </c>
    </row>
    <row r="341" spans="1:10" ht="15.9" customHeight="1" x14ac:dyDescent="0.3">
      <c r="A341" s="3" t="s">
        <v>1050</v>
      </c>
      <c r="B341" s="4" t="s">
        <v>36</v>
      </c>
      <c r="C341" s="4" t="s">
        <v>62</v>
      </c>
      <c r="D341" s="4" t="s">
        <v>1051</v>
      </c>
      <c r="E341" s="4" t="s">
        <v>1052</v>
      </c>
      <c r="F341" s="3" t="s">
        <v>426</v>
      </c>
      <c r="G341" s="3" t="s">
        <v>79</v>
      </c>
      <c r="H341" s="4" t="s">
        <v>72</v>
      </c>
      <c r="I341" s="3" t="s">
        <v>112</v>
      </c>
      <c r="J341" s="4" t="s">
        <v>27</v>
      </c>
    </row>
    <row r="342" spans="1:10" ht="15.9" customHeight="1" x14ac:dyDescent="0.3">
      <c r="A342" s="1" t="s">
        <v>1053</v>
      </c>
      <c r="B342" s="2" t="s">
        <v>29</v>
      </c>
      <c r="C342" s="2" t="s">
        <v>62</v>
      </c>
      <c r="D342" s="2" t="s">
        <v>1054</v>
      </c>
      <c r="E342" s="2" t="s">
        <v>1055</v>
      </c>
      <c r="F342" s="1" t="s">
        <v>90</v>
      </c>
      <c r="G342" s="1" t="s">
        <v>142</v>
      </c>
      <c r="H342" s="2" t="s">
        <v>17</v>
      </c>
      <c r="I342" s="1" t="s">
        <v>18</v>
      </c>
      <c r="J342" s="2"/>
    </row>
    <row r="343" spans="1:10" ht="15.9" customHeight="1" x14ac:dyDescent="0.3">
      <c r="A343" s="3" t="s">
        <v>1056</v>
      </c>
      <c r="B343" s="4" t="s">
        <v>342</v>
      </c>
      <c r="C343" s="4"/>
      <c r="D343" s="4" t="s">
        <v>1057</v>
      </c>
      <c r="E343" s="4"/>
      <c r="F343" s="3" t="s">
        <v>1058</v>
      </c>
      <c r="G343" s="3" t="s">
        <v>79</v>
      </c>
      <c r="H343" s="4" t="s">
        <v>17</v>
      </c>
      <c r="I343" s="3"/>
      <c r="J343" s="4" t="s">
        <v>34</v>
      </c>
    </row>
    <row r="344" spans="1:10" ht="15.9" customHeight="1" x14ac:dyDescent="0.3">
      <c r="A344" s="1" t="s">
        <v>1059</v>
      </c>
      <c r="B344" s="2" t="s">
        <v>597</v>
      </c>
      <c r="C344" s="2" t="s">
        <v>12</v>
      </c>
      <c r="D344" s="2" t="s">
        <v>1060</v>
      </c>
      <c r="E344" s="2" t="s">
        <v>30</v>
      </c>
      <c r="F344" s="1" t="s">
        <v>1061</v>
      </c>
      <c r="G344" s="1" t="s">
        <v>142</v>
      </c>
      <c r="H344" s="2" t="s">
        <v>65</v>
      </c>
      <c r="I344" s="1"/>
      <c r="J344" s="2" t="s">
        <v>143</v>
      </c>
    </row>
    <row r="345" spans="1:10" ht="15.9" customHeight="1" x14ac:dyDescent="0.3">
      <c r="A345" s="3" t="s">
        <v>1062</v>
      </c>
      <c r="B345" s="4" t="s">
        <v>108</v>
      </c>
      <c r="C345" s="4"/>
      <c r="D345" s="4" t="s">
        <v>1063</v>
      </c>
      <c r="E345" s="4" t="s">
        <v>1064</v>
      </c>
      <c r="F345" s="3" t="s">
        <v>1065</v>
      </c>
      <c r="G345" s="3" t="s">
        <v>33</v>
      </c>
      <c r="H345" s="4" t="s">
        <v>42</v>
      </c>
      <c r="I345" s="3" t="s">
        <v>216</v>
      </c>
      <c r="J345" s="4" t="s">
        <v>106</v>
      </c>
    </row>
    <row r="346" spans="1:10" ht="15.9" customHeight="1" x14ac:dyDescent="0.3">
      <c r="A346" s="1" t="s">
        <v>1066</v>
      </c>
      <c r="B346" s="2" t="s">
        <v>157</v>
      </c>
      <c r="C346" s="2" t="s">
        <v>12</v>
      </c>
      <c r="D346" s="2" t="s">
        <v>1067</v>
      </c>
      <c r="E346" s="2" t="s">
        <v>1068</v>
      </c>
      <c r="F346" s="1" t="s">
        <v>1058</v>
      </c>
      <c r="G346" s="1" t="s">
        <v>111</v>
      </c>
      <c r="H346" s="2" t="s">
        <v>49</v>
      </c>
      <c r="I346" s="1" t="s">
        <v>18</v>
      </c>
      <c r="J346" s="2" t="s">
        <v>143</v>
      </c>
    </row>
    <row r="347" spans="1:10" ht="15.9" customHeight="1" x14ac:dyDescent="0.3">
      <c r="A347" s="3" t="s">
        <v>1069</v>
      </c>
      <c r="B347" s="4" t="s">
        <v>647</v>
      </c>
      <c r="C347" s="4" t="s">
        <v>62</v>
      </c>
      <c r="D347" s="4" t="s">
        <v>1070</v>
      </c>
      <c r="E347" s="4"/>
      <c r="F347" s="3" t="s">
        <v>625</v>
      </c>
      <c r="G347" s="3" t="s">
        <v>79</v>
      </c>
      <c r="H347" s="4" t="s">
        <v>49</v>
      </c>
      <c r="I347" s="3" t="s">
        <v>50</v>
      </c>
      <c r="J347" s="4" t="s">
        <v>51</v>
      </c>
    </row>
    <row r="348" spans="1:10" ht="15.9" customHeight="1" x14ac:dyDescent="0.3">
      <c r="A348" s="1" t="s">
        <v>1071</v>
      </c>
      <c r="B348" s="2" t="s">
        <v>169</v>
      </c>
      <c r="C348" s="2" t="s">
        <v>22</v>
      </c>
      <c r="D348" s="2" t="s">
        <v>1072</v>
      </c>
      <c r="E348" s="2" t="s">
        <v>1073</v>
      </c>
      <c r="F348" s="1" t="s">
        <v>922</v>
      </c>
      <c r="G348" s="1" t="s">
        <v>33</v>
      </c>
      <c r="H348" s="2" t="s">
        <v>49</v>
      </c>
      <c r="I348" s="1" t="s">
        <v>112</v>
      </c>
      <c r="J348" s="2" t="s">
        <v>19</v>
      </c>
    </row>
    <row r="349" spans="1:10" ht="15.9" customHeight="1" x14ac:dyDescent="0.3">
      <c r="A349" s="3" t="s">
        <v>1074</v>
      </c>
      <c r="B349" s="4" t="s">
        <v>102</v>
      </c>
      <c r="C349" s="4" t="s">
        <v>22</v>
      </c>
      <c r="D349" s="4" t="s">
        <v>1075</v>
      </c>
      <c r="E349" s="4" t="s">
        <v>30</v>
      </c>
      <c r="F349" s="3" t="s">
        <v>568</v>
      </c>
      <c r="G349" s="3" t="s">
        <v>48</v>
      </c>
      <c r="H349" s="4" t="s">
        <v>17</v>
      </c>
      <c r="I349" s="3" t="s">
        <v>18</v>
      </c>
      <c r="J349" s="4" t="s">
        <v>66</v>
      </c>
    </row>
    <row r="350" spans="1:10" ht="15.9" customHeight="1" x14ac:dyDescent="0.3">
      <c r="A350" s="1" t="s">
        <v>1076</v>
      </c>
      <c r="B350" s="2" t="s">
        <v>169</v>
      </c>
      <c r="C350" s="2" t="s">
        <v>22</v>
      </c>
      <c r="D350" s="2" t="s">
        <v>1077</v>
      </c>
      <c r="E350" s="2" t="s">
        <v>30</v>
      </c>
      <c r="F350" s="1" t="s">
        <v>572</v>
      </c>
      <c r="G350" s="1" t="s">
        <v>142</v>
      </c>
      <c r="H350" s="2" t="s">
        <v>65</v>
      </c>
      <c r="I350" s="1" t="s">
        <v>73</v>
      </c>
      <c r="J350" s="2" t="s">
        <v>19</v>
      </c>
    </row>
    <row r="351" spans="1:10" ht="15.9" customHeight="1" x14ac:dyDescent="0.3">
      <c r="A351" s="3" t="s">
        <v>1078</v>
      </c>
      <c r="B351" s="4" t="s">
        <v>56</v>
      </c>
      <c r="C351" s="4"/>
      <c r="D351" s="4" t="s">
        <v>1079</v>
      </c>
      <c r="E351" s="4" t="s">
        <v>1080</v>
      </c>
      <c r="F351" s="3" t="s">
        <v>1081</v>
      </c>
      <c r="G351" s="3" t="s">
        <v>54</v>
      </c>
      <c r="H351" s="4" t="s">
        <v>25</v>
      </c>
      <c r="I351" s="3"/>
      <c r="J351" s="4" t="s">
        <v>27</v>
      </c>
    </row>
    <row r="352" spans="1:10" ht="15.9" customHeight="1" x14ac:dyDescent="0.3">
      <c r="A352" s="1" t="s">
        <v>1082</v>
      </c>
      <c r="B352" s="2" t="s">
        <v>21</v>
      </c>
      <c r="C352" s="2" t="s">
        <v>37</v>
      </c>
      <c r="D352" s="2" t="s">
        <v>1083</v>
      </c>
      <c r="E352" s="2" t="s">
        <v>1084</v>
      </c>
      <c r="F352" s="1" t="s">
        <v>1085</v>
      </c>
      <c r="G352" s="1" t="s">
        <v>33</v>
      </c>
      <c r="H352" s="2" t="s">
        <v>125</v>
      </c>
      <c r="I352" s="1" t="s">
        <v>73</v>
      </c>
      <c r="J352" s="2" t="s">
        <v>51</v>
      </c>
    </row>
    <row r="353" spans="1:10" ht="15.9" customHeight="1" x14ac:dyDescent="0.3">
      <c r="A353" s="3" t="s">
        <v>1086</v>
      </c>
      <c r="B353" s="4" t="s">
        <v>165</v>
      </c>
      <c r="C353" s="4" t="s">
        <v>45</v>
      </c>
      <c r="D353" s="4" t="s">
        <v>1087</v>
      </c>
      <c r="E353" s="4" t="s">
        <v>754</v>
      </c>
      <c r="F353" s="3" t="s">
        <v>215</v>
      </c>
      <c r="G353" s="3" t="s">
        <v>16</v>
      </c>
      <c r="H353" s="4" t="s">
        <v>65</v>
      </c>
      <c r="I353" s="3" t="s">
        <v>73</v>
      </c>
      <c r="J353" s="4" t="s">
        <v>91</v>
      </c>
    </row>
    <row r="354" spans="1:10" ht="15.9" customHeight="1" x14ac:dyDescent="0.3">
      <c r="A354" s="1" t="s">
        <v>1088</v>
      </c>
      <c r="B354" s="2" t="s">
        <v>61</v>
      </c>
      <c r="C354" s="2" t="s">
        <v>119</v>
      </c>
      <c r="D354" s="2" t="s">
        <v>1089</v>
      </c>
      <c r="E354" s="2"/>
      <c r="F354" s="1" t="s">
        <v>1090</v>
      </c>
      <c r="G354" s="1" t="s">
        <v>48</v>
      </c>
      <c r="H354" s="2" t="s">
        <v>17</v>
      </c>
      <c r="I354" s="1" t="s">
        <v>18</v>
      </c>
      <c r="J354" s="2" t="s">
        <v>34</v>
      </c>
    </row>
    <row r="355" spans="1:10" ht="15.9" customHeight="1" x14ac:dyDescent="0.3">
      <c r="A355" s="3" t="s">
        <v>1091</v>
      </c>
      <c r="B355" s="4" t="s">
        <v>75</v>
      </c>
      <c r="C355" s="4" t="s">
        <v>37</v>
      </c>
      <c r="D355" s="4" t="s">
        <v>1092</v>
      </c>
      <c r="E355" s="4" t="s">
        <v>77</v>
      </c>
      <c r="F355" s="3" t="s">
        <v>1093</v>
      </c>
      <c r="G355" s="3" t="s">
        <v>48</v>
      </c>
      <c r="H355" s="4"/>
      <c r="I355" s="3" t="s">
        <v>73</v>
      </c>
      <c r="J355" s="4" t="s">
        <v>34</v>
      </c>
    </row>
    <row r="356" spans="1:10" ht="15.9" customHeight="1" x14ac:dyDescent="0.3">
      <c r="A356" s="1" t="s">
        <v>1094</v>
      </c>
      <c r="B356" s="2" t="s">
        <v>68</v>
      </c>
      <c r="C356" s="2"/>
      <c r="D356" s="2" t="s">
        <v>1095</v>
      </c>
      <c r="E356" s="2" t="s">
        <v>1096</v>
      </c>
      <c r="F356" s="1" t="s">
        <v>854</v>
      </c>
      <c r="G356" s="1" t="s">
        <v>41</v>
      </c>
      <c r="H356" s="2" t="s">
        <v>17</v>
      </c>
      <c r="I356" s="1"/>
      <c r="J356" s="2" t="s">
        <v>19</v>
      </c>
    </row>
    <row r="357" spans="1:10" ht="15.9" customHeight="1" x14ac:dyDescent="0.3">
      <c r="A357" s="3" t="s">
        <v>1097</v>
      </c>
      <c r="B357" s="4" t="s">
        <v>44</v>
      </c>
      <c r="C357" s="4" t="s">
        <v>119</v>
      </c>
      <c r="D357" s="4" t="s">
        <v>1098</v>
      </c>
      <c r="E357" s="4" t="s">
        <v>1015</v>
      </c>
      <c r="F357" s="3" t="s">
        <v>1099</v>
      </c>
      <c r="G357" s="3" t="s">
        <v>41</v>
      </c>
      <c r="H357" s="4" t="s">
        <v>49</v>
      </c>
      <c r="I357" s="3" t="s">
        <v>26</v>
      </c>
      <c r="J357" s="4" t="s">
        <v>143</v>
      </c>
    </row>
    <row r="358" spans="1:10" ht="15.9" customHeight="1" x14ac:dyDescent="0.3">
      <c r="A358" s="1" t="s">
        <v>1100</v>
      </c>
      <c r="B358" s="2" t="s">
        <v>68</v>
      </c>
      <c r="C358" s="2" t="s">
        <v>22</v>
      </c>
      <c r="D358" s="2"/>
      <c r="E358" s="2"/>
      <c r="F358" s="1" t="s">
        <v>477</v>
      </c>
      <c r="G358" s="1" t="s">
        <v>79</v>
      </c>
      <c r="H358" s="2" t="s">
        <v>83</v>
      </c>
      <c r="I358" s="1" t="s">
        <v>18</v>
      </c>
      <c r="J358" s="2" t="s">
        <v>143</v>
      </c>
    </row>
    <row r="359" spans="1:10" ht="15.9" customHeight="1" x14ac:dyDescent="0.3">
      <c r="A359" s="3" t="s">
        <v>1101</v>
      </c>
      <c r="B359" s="4" t="s">
        <v>597</v>
      </c>
      <c r="C359" s="4" t="s">
        <v>119</v>
      </c>
      <c r="D359" s="4" t="s">
        <v>1102</v>
      </c>
      <c r="E359" s="4" t="s">
        <v>1103</v>
      </c>
      <c r="F359" s="3" t="s">
        <v>643</v>
      </c>
      <c r="G359" s="3" t="s">
        <v>16</v>
      </c>
      <c r="H359" s="4" t="s">
        <v>42</v>
      </c>
      <c r="I359" s="3" t="s">
        <v>50</v>
      </c>
      <c r="J359" s="4" t="s">
        <v>106</v>
      </c>
    </row>
    <row r="360" spans="1:10" ht="15.9" customHeight="1" x14ac:dyDescent="0.3">
      <c r="A360" s="1" t="s">
        <v>1104</v>
      </c>
      <c r="B360" s="2" t="s">
        <v>11</v>
      </c>
      <c r="C360" s="2" t="s">
        <v>22</v>
      </c>
      <c r="D360" s="2"/>
      <c r="E360" s="2" t="s">
        <v>199</v>
      </c>
      <c r="F360" s="1" t="s">
        <v>836</v>
      </c>
      <c r="G360" s="1" t="s">
        <v>16</v>
      </c>
      <c r="H360" s="2" t="s">
        <v>25</v>
      </c>
      <c r="I360" s="1" t="s">
        <v>216</v>
      </c>
      <c r="J360" s="2" t="s">
        <v>51</v>
      </c>
    </row>
    <row r="361" spans="1:10" ht="15.9" customHeight="1" x14ac:dyDescent="0.3">
      <c r="A361" s="3" t="s">
        <v>1105</v>
      </c>
      <c r="B361" s="4" t="s">
        <v>165</v>
      </c>
      <c r="C361" s="4" t="s">
        <v>37</v>
      </c>
      <c r="D361" s="4" t="s">
        <v>1106</v>
      </c>
      <c r="E361" s="4" t="s">
        <v>363</v>
      </c>
      <c r="F361" s="3" t="s">
        <v>943</v>
      </c>
      <c r="G361" s="3" t="s">
        <v>16</v>
      </c>
      <c r="H361" s="4" t="s">
        <v>49</v>
      </c>
      <c r="I361" s="3" t="s">
        <v>26</v>
      </c>
      <c r="J361" s="4" t="s">
        <v>143</v>
      </c>
    </row>
    <row r="362" spans="1:10" ht="15.9" customHeight="1" x14ac:dyDescent="0.3">
      <c r="A362" s="1" t="s">
        <v>1107</v>
      </c>
      <c r="B362" s="2" t="s">
        <v>647</v>
      </c>
      <c r="C362" s="2" t="s">
        <v>37</v>
      </c>
      <c r="D362" s="2" t="s">
        <v>1108</v>
      </c>
      <c r="E362" s="2" t="s">
        <v>1109</v>
      </c>
      <c r="F362" s="1" t="s">
        <v>1110</v>
      </c>
      <c r="G362" s="1" t="s">
        <v>79</v>
      </c>
      <c r="H362" s="2"/>
      <c r="I362" s="1" t="s">
        <v>112</v>
      </c>
      <c r="J362" s="2" t="s">
        <v>91</v>
      </c>
    </row>
    <row r="363" spans="1:10" ht="15.9" customHeight="1" x14ac:dyDescent="0.3">
      <c r="A363" s="3" t="s">
        <v>1111</v>
      </c>
      <c r="B363" s="4" t="s">
        <v>197</v>
      </c>
      <c r="C363" s="4"/>
      <c r="D363" s="4" t="s">
        <v>1112</v>
      </c>
      <c r="E363" s="4" t="s">
        <v>30</v>
      </c>
      <c r="F363" s="3" t="s">
        <v>1113</v>
      </c>
      <c r="G363" s="3" t="s">
        <v>33</v>
      </c>
      <c r="H363" s="4" t="s">
        <v>72</v>
      </c>
      <c r="I363" s="3"/>
      <c r="J363" s="4" t="s">
        <v>143</v>
      </c>
    </row>
    <row r="364" spans="1:10" ht="15.9" customHeight="1" x14ac:dyDescent="0.3">
      <c r="A364" s="1" t="s">
        <v>1114</v>
      </c>
      <c r="B364" s="2" t="s">
        <v>134</v>
      </c>
      <c r="C364" s="2" t="s">
        <v>22</v>
      </c>
      <c r="D364" s="2" t="s">
        <v>1115</v>
      </c>
      <c r="E364" s="2" t="s">
        <v>1116</v>
      </c>
      <c r="F364" s="1" t="s">
        <v>848</v>
      </c>
      <c r="G364" s="1" t="s">
        <v>33</v>
      </c>
      <c r="H364" s="2" t="s">
        <v>65</v>
      </c>
      <c r="I364" s="1" t="s">
        <v>50</v>
      </c>
      <c r="J364" s="2" t="s">
        <v>34</v>
      </c>
    </row>
    <row r="365" spans="1:10" ht="15.9" customHeight="1" x14ac:dyDescent="0.3">
      <c r="A365" s="3" t="s">
        <v>1117</v>
      </c>
      <c r="B365" s="4" t="s">
        <v>29</v>
      </c>
      <c r="C365" s="4" t="s">
        <v>37</v>
      </c>
      <c r="D365" s="4" t="s">
        <v>1118</v>
      </c>
      <c r="E365" s="4"/>
      <c r="F365" s="3" t="s">
        <v>1119</v>
      </c>
      <c r="G365" s="3" t="s">
        <v>54</v>
      </c>
      <c r="H365" s="4" t="s">
        <v>65</v>
      </c>
      <c r="I365" s="3"/>
      <c r="J365" s="4" t="s">
        <v>143</v>
      </c>
    </row>
    <row r="366" spans="1:10" ht="15.9" customHeight="1" x14ac:dyDescent="0.3">
      <c r="A366" s="1" t="s">
        <v>1120</v>
      </c>
      <c r="B366" s="2" t="s">
        <v>134</v>
      </c>
      <c r="C366" s="2" t="s">
        <v>37</v>
      </c>
      <c r="D366" s="2" t="s">
        <v>1121</v>
      </c>
      <c r="E366" s="2" t="s">
        <v>1122</v>
      </c>
      <c r="F366" s="1" t="s">
        <v>860</v>
      </c>
      <c r="G366" s="1" t="s">
        <v>41</v>
      </c>
      <c r="H366" s="2"/>
      <c r="I366" s="1" t="s">
        <v>26</v>
      </c>
      <c r="J366" s="2" t="s">
        <v>91</v>
      </c>
    </row>
    <row r="367" spans="1:10" ht="15.9" customHeight="1" x14ac:dyDescent="0.3">
      <c r="A367" s="3" t="s">
        <v>1123</v>
      </c>
      <c r="B367" s="4" t="s">
        <v>597</v>
      </c>
      <c r="C367" s="4" t="s">
        <v>12</v>
      </c>
      <c r="D367" s="4"/>
      <c r="E367" s="4" t="s">
        <v>1124</v>
      </c>
      <c r="F367" s="3" t="s">
        <v>672</v>
      </c>
      <c r="G367" s="3" t="s">
        <v>16</v>
      </c>
      <c r="H367" s="4" t="s">
        <v>42</v>
      </c>
      <c r="I367" s="3" t="s">
        <v>112</v>
      </c>
      <c r="J367" s="4" t="s">
        <v>143</v>
      </c>
    </row>
    <row r="368" spans="1:10" ht="15.9" customHeight="1" x14ac:dyDescent="0.3">
      <c r="A368" s="1" t="s">
        <v>1125</v>
      </c>
      <c r="B368" s="2" t="s">
        <v>61</v>
      </c>
      <c r="C368" s="2" t="s">
        <v>62</v>
      </c>
      <c r="D368" s="2"/>
      <c r="E368" s="2" t="s">
        <v>1126</v>
      </c>
      <c r="F368" s="1" t="s">
        <v>457</v>
      </c>
      <c r="G368" s="1" t="s">
        <v>79</v>
      </c>
      <c r="H368" s="2" t="s">
        <v>65</v>
      </c>
      <c r="I368" s="1" t="s">
        <v>73</v>
      </c>
      <c r="J368" s="2" t="s">
        <v>19</v>
      </c>
    </row>
    <row r="369" spans="1:10" ht="15.9" customHeight="1" x14ac:dyDescent="0.3">
      <c r="A369" s="3" t="s">
        <v>1127</v>
      </c>
      <c r="B369" s="4" t="s">
        <v>11</v>
      </c>
      <c r="C369" s="4" t="s">
        <v>37</v>
      </c>
      <c r="D369" s="4"/>
      <c r="E369" s="4" t="s">
        <v>1128</v>
      </c>
      <c r="F369" s="3" t="s">
        <v>1129</v>
      </c>
      <c r="G369" s="3" t="s">
        <v>48</v>
      </c>
      <c r="H369" s="4" t="s">
        <v>49</v>
      </c>
      <c r="I369" s="3" t="s">
        <v>216</v>
      </c>
      <c r="J369" s="4"/>
    </row>
    <row r="370" spans="1:10" ht="15.9" customHeight="1" x14ac:dyDescent="0.3">
      <c r="A370" s="1" t="s">
        <v>1130</v>
      </c>
      <c r="B370" s="2" t="s">
        <v>227</v>
      </c>
      <c r="C370" s="2" t="s">
        <v>62</v>
      </c>
      <c r="D370" s="2" t="s">
        <v>1131</v>
      </c>
      <c r="E370" s="2" t="s">
        <v>436</v>
      </c>
      <c r="F370" s="1" t="s">
        <v>1132</v>
      </c>
      <c r="G370" s="1" t="s">
        <v>16</v>
      </c>
      <c r="H370" s="2" t="s">
        <v>49</v>
      </c>
      <c r="I370" s="1" t="s">
        <v>112</v>
      </c>
      <c r="J370" s="2" t="s">
        <v>143</v>
      </c>
    </row>
    <row r="371" spans="1:10" ht="15.9" customHeight="1" x14ac:dyDescent="0.3">
      <c r="A371" s="3" t="s">
        <v>1019</v>
      </c>
      <c r="B371" s="4" t="s">
        <v>169</v>
      </c>
      <c r="C371" s="4"/>
      <c r="D371" s="4"/>
      <c r="E371" s="4" t="s">
        <v>1049</v>
      </c>
      <c r="F371" s="3" t="s">
        <v>348</v>
      </c>
      <c r="G371" s="3" t="s">
        <v>48</v>
      </c>
      <c r="H371" s="4" t="s">
        <v>25</v>
      </c>
      <c r="I371" s="3" t="s">
        <v>73</v>
      </c>
      <c r="J371" s="4" t="s">
        <v>91</v>
      </c>
    </row>
    <row r="372" spans="1:10" ht="15.9" customHeight="1" x14ac:dyDescent="0.3">
      <c r="A372" s="1" t="s">
        <v>1133</v>
      </c>
      <c r="B372" s="2" t="s">
        <v>75</v>
      </c>
      <c r="C372" s="2" t="s">
        <v>22</v>
      </c>
      <c r="D372" s="2" t="s">
        <v>1134</v>
      </c>
      <c r="E372" s="2" t="s">
        <v>888</v>
      </c>
      <c r="F372" s="1" t="s">
        <v>389</v>
      </c>
      <c r="G372" s="1" t="s">
        <v>111</v>
      </c>
      <c r="H372" s="2" t="s">
        <v>83</v>
      </c>
      <c r="I372" s="1" t="s">
        <v>73</v>
      </c>
      <c r="J372" s="2" t="s">
        <v>91</v>
      </c>
    </row>
    <row r="373" spans="1:10" ht="15.9" customHeight="1" x14ac:dyDescent="0.3">
      <c r="A373" s="3" t="s">
        <v>1135</v>
      </c>
      <c r="B373" s="4" t="s">
        <v>56</v>
      </c>
      <c r="C373" s="4" t="s">
        <v>119</v>
      </c>
      <c r="D373" s="4"/>
      <c r="E373" s="4" t="s">
        <v>1136</v>
      </c>
      <c r="F373" s="3" t="s">
        <v>948</v>
      </c>
      <c r="G373" s="3" t="s">
        <v>142</v>
      </c>
      <c r="H373" s="4" t="s">
        <v>65</v>
      </c>
      <c r="I373" s="3" t="s">
        <v>50</v>
      </c>
      <c r="J373" s="4" t="s">
        <v>66</v>
      </c>
    </row>
    <row r="374" spans="1:10" ht="15.9" customHeight="1" x14ac:dyDescent="0.3">
      <c r="A374" s="1" t="s">
        <v>1137</v>
      </c>
      <c r="B374" s="2" t="s">
        <v>114</v>
      </c>
      <c r="C374" s="2" t="s">
        <v>22</v>
      </c>
      <c r="D374" s="2"/>
      <c r="E374" s="2" t="s">
        <v>1138</v>
      </c>
      <c r="F374" s="1" t="s">
        <v>1139</v>
      </c>
      <c r="G374" s="1" t="s">
        <v>111</v>
      </c>
      <c r="H374" s="2" t="s">
        <v>83</v>
      </c>
      <c r="I374" s="1" t="s">
        <v>112</v>
      </c>
      <c r="J374" s="2" t="s">
        <v>143</v>
      </c>
    </row>
    <row r="375" spans="1:10" ht="15.9" customHeight="1" x14ac:dyDescent="0.3">
      <c r="A375" s="3" t="s">
        <v>1140</v>
      </c>
      <c r="B375" s="4" t="s">
        <v>21</v>
      </c>
      <c r="C375" s="4" t="s">
        <v>62</v>
      </c>
      <c r="D375" s="4" t="s">
        <v>1141</v>
      </c>
      <c r="E375" s="4" t="s">
        <v>1142</v>
      </c>
      <c r="F375" s="3" t="s">
        <v>296</v>
      </c>
      <c r="G375" s="3" t="s">
        <v>48</v>
      </c>
      <c r="H375" s="4" t="s">
        <v>65</v>
      </c>
      <c r="I375" s="3" t="s">
        <v>18</v>
      </c>
      <c r="J375" s="4" t="s">
        <v>51</v>
      </c>
    </row>
    <row r="376" spans="1:10" ht="15.9" customHeight="1" x14ac:dyDescent="0.3">
      <c r="A376" s="1" t="s">
        <v>1143</v>
      </c>
      <c r="B376" s="2" t="s">
        <v>88</v>
      </c>
      <c r="C376" s="2" t="s">
        <v>62</v>
      </c>
      <c r="D376" s="2" t="s">
        <v>1144</v>
      </c>
      <c r="E376" s="2" t="s">
        <v>548</v>
      </c>
      <c r="F376" s="1" t="s">
        <v>526</v>
      </c>
      <c r="G376" s="1" t="s">
        <v>111</v>
      </c>
      <c r="H376" s="2" t="s">
        <v>25</v>
      </c>
      <c r="I376" s="1" t="s">
        <v>50</v>
      </c>
      <c r="J376" s="2" t="s">
        <v>143</v>
      </c>
    </row>
    <row r="377" spans="1:10" ht="15.9" customHeight="1" x14ac:dyDescent="0.3">
      <c r="A377" s="3" t="s">
        <v>1145</v>
      </c>
      <c r="B377" s="4" t="s">
        <v>114</v>
      </c>
      <c r="C377" s="4" t="s">
        <v>22</v>
      </c>
      <c r="D377" s="4" t="s">
        <v>30</v>
      </c>
      <c r="E377" s="4"/>
      <c r="F377" s="3" t="s">
        <v>1146</v>
      </c>
      <c r="G377" s="3" t="s">
        <v>16</v>
      </c>
      <c r="H377" s="4" t="s">
        <v>17</v>
      </c>
      <c r="I377" s="3" t="s">
        <v>18</v>
      </c>
      <c r="J377" s="4" t="s">
        <v>19</v>
      </c>
    </row>
    <row r="378" spans="1:10" ht="15.9" customHeight="1" x14ac:dyDescent="0.3">
      <c r="A378" s="1" t="s">
        <v>1147</v>
      </c>
      <c r="B378" s="2" t="s">
        <v>165</v>
      </c>
      <c r="C378" s="2" t="s">
        <v>37</v>
      </c>
      <c r="D378" s="2" t="s">
        <v>1148</v>
      </c>
      <c r="E378" s="2" t="s">
        <v>1149</v>
      </c>
      <c r="F378" s="1" t="s">
        <v>71</v>
      </c>
      <c r="G378" s="1" t="s">
        <v>33</v>
      </c>
      <c r="H378" s="2" t="s">
        <v>42</v>
      </c>
      <c r="I378" s="1" t="s">
        <v>73</v>
      </c>
      <c r="J378" s="2" t="s">
        <v>51</v>
      </c>
    </row>
    <row r="379" spans="1:10" ht="15.9" customHeight="1" x14ac:dyDescent="0.3">
      <c r="A379" s="3" t="s">
        <v>1150</v>
      </c>
      <c r="B379" s="4" t="s">
        <v>381</v>
      </c>
      <c r="C379" s="4" t="s">
        <v>12</v>
      </c>
      <c r="D379" s="4"/>
      <c r="E379" s="4" t="s">
        <v>1151</v>
      </c>
      <c r="F379" s="3" t="s">
        <v>1152</v>
      </c>
      <c r="G379" s="3" t="s">
        <v>48</v>
      </c>
      <c r="H379" s="4" t="s">
        <v>25</v>
      </c>
      <c r="I379" s="3" t="s">
        <v>73</v>
      </c>
      <c r="J379" s="4" t="s">
        <v>91</v>
      </c>
    </row>
    <row r="380" spans="1:10" ht="15.9" customHeight="1" x14ac:dyDescent="0.3">
      <c r="A380" s="1" t="s">
        <v>1153</v>
      </c>
      <c r="B380" s="2" t="s">
        <v>165</v>
      </c>
      <c r="C380" s="2" t="s">
        <v>37</v>
      </c>
      <c r="D380" s="2"/>
      <c r="E380" s="2"/>
      <c r="F380" s="1" t="s">
        <v>661</v>
      </c>
      <c r="G380" s="1" t="s">
        <v>16</v>
      </c>
      <c r="H380" s="2" t="s">
        <v>72</v>
      </c>
      <c r="I380" s="1" t="s">
        <v>216</v>
      </c>
      <c r="J380" s="2" t="s">
        <v>19</v>
      </c>
    </row>
    <row r="381" spans="1:10" ht="15.9" customHeight="1" x14ac:dyDescent="0.3">
      <c r="A381" s="3" t="s">
        <v>1154</v>
      </c>
      <c r="B381" s="4" t="s">
        <v>184</v>
      </c>
      <c r="C381" s="4"/>
      <c r="D381" s="4" t="s">
        <v>1155</v>
      </c>
      <c r="E381" s="4" t="s">
        <v>337</v>
      </c>
      <c r="F381" s="3" t="s">
        <v>1156</v>
      </c>
      <c r="G381" s="3" t="s">
        <v>16</v>
      </c>
      <c r="H381" s="4" t="s">
        <v>49</v>
      </c>
      <c r="I381" s="3" t="s">
        <v>26</v>
      </c>
      <c r="J381" s="4" t="s">
        <v>51</v>
      </c>
    </row>
    <row r="382" spans="1:10" ht="15.9" customHeight="1" x14ac:dyDescent="0.3">
      <c r="A382" s="1" t="s">
        <v>1157</v>
      </c>
      <c r="B382" s="2" t="s">
        <v>197</v>
      </c>
      <c r="C382" s="2" t="s">
        <v>12</v>
      </c>
      <c r="D382" s="2" t="s">
        <v>1158</v>
      </c>
      <c r="E382" s="2" t="s">
        <v>1159</v>
      </c>
      <c r="F382" s="1" t="s">
        <v>96</v>
      </c>
      <c r="G382" s="1" t="s">
        <v>54</v>
      </c>
      <c r="H382" s="2" t="s">
        <v>65</v>
      </c>
      <c r="I382" s="1" t="s">
        <v>73</v>
      </c>
      <c r="J382" s="2" t="s">
        <v>106</v>
      </c>
    </row>
    <row r="383" spans="1:10" ht="15.9" customHeight="1" x14ac:dyDescent="0.3">
      <c r="A383" s="3" t="s">
        <v>1160</v>
      </c>
      <c r="B383" s="4" t="s">
        <v>202</v>
      </c>
      <c r="C383" s="4" t="s">
        <v>45</v>
      </c>
      <c r="D383" s="4" t="s">
        <v>1161</v>
      </c>
      <c r="E383" s="4"/>
      <c r="F383" s="3" t="s">
        <v>412</v>
      </c>
      <c r="G383" s="3" t="s">
        <v>41</v>
      </c>
      <c r="H383" s="4" t="s">
        <v>125</v>
      </c>
      <c r="I383" s="3" t="s">
        <v>216</v>
      </c>
      <c r="J383" s="4" t="s">
        <v>19</v>
      </c>
    </row>
    <row r="384" spans="1:10" ht="15.9" customHeight="1" x14ac:dyDescent="0.3">
      <c r="A384" s="1" t="s">
        <v>881</v>
      </c>
      <c r="B384" s="2" t="s">
        <v>114</v>
      </c>
      <c r="C384" s="2"/>
      <c r="D384" s="2" t="s">
        <v>1162</v>
      </c>
      <c r="E384" s="2" t="s">
        <v>1163</v>
      </c>
      <c r="F384" s="1" t="s">
        <v>759</v>
      </c>
      <c r="G384" s="1" t="s">
        <v>48</v>
      </c>
      <c r="H384" s="2" t="s">
        <v>65</v>
      </c>
      <c r="I384" s="1" t="s">
        <v>73</v>
      </c>
      <c r="J384" s="2" t="s">
        <v>91</v>
      </c>
    </row>
    <row r="385" spans="1:10" ht="15.9" customHeight="1" x14ac:dyDescent="0.3">
      <c r="A385" s="3" t="s">
        <v>1164</v>
      </c>
      <c r="B385" s="4" t="s">
        <v>102</v>
      </c>
      <c r="C385" s="4" t="s">
        <v>119</v>
      </c>
      <c r="D385" s="4" t="s">
        <v>30</v>
      </c>
      <c r="E385" s="4" t="s">
        <v>432</v>
      </c>
      <c r="F385" s="3" t="s">
        <v>1165</v>
      </c>
      <c r="G385" s="3" t="s">
        <v>41</v>
      </c>
      <c r="H385" s="4" t="s">
        <v>83</v>
      </c>
      <c r="I385" s="3" t="s">
        <v>73</v>
      </c>
      <c r="J385" s="4"/>
    </row>
    <row r="386" spans="1:10" ht="15.9" customHeight="1" x14ac:dyDescent="0.3">
      <c r="A386" s="1" t="s">
        <v>1166</v>
      </c>
      <c r="B386" s="2" t="s">
        <v>206</v>
      </c>
      <c r="C386" s="2" t="s">
        <v>12</v>
      </c>
      <c r="D386" s="2" t="s">
        <v>1167</v>
      </c>
      <c r="E386" s="2" t="s">
        <v>706</v>
      </c>
      <c r="F386" s="1" t="s">
        <v>105</v>
      </c>
      <c r="G386" s="1" t="s">
        <v>48</v>
      </c>
      <c r="H386" s="2" t="s">
        <v>25</v>
      </c>
      <c r="I386" s="1" t="s">
        <v>26</v>
      </c>
      <c r="J386" s="2" t="s">
        <v>19</v>
      </c>
    </row>
    <row r="387" spans="1:10" ht="15.9" customHeight="1" x14ac:dyDescent="0.3">
      <c r="A387" s="3" t="s">
        <v>133</v>
      </c>
      <c r="B387" s="4" t="s">
        <v>153</v>
      </c>
      <c r="C387" s="4" t="s">
        <v>45</v>
      </c>
      <c r="D387" s="4" t="s">
        <v>1168</v>
      </c>
      <c r="E387" s="4" t="s">
        <v>30</v>
      </c>
      <c r="F387" s="3" t="s">
        <v>1085</v>
      </c>
      <c r="G387" s="3" t="s">
        <v>142</v>
      </c>
      <c r="H387" s="4" t="s">
        <v>42</v>
      </c>
      <c r="I387" s="3" t="s">
        <v>26</v>
      </c>
      <c r="J387" s="4" t="s">
        <v>66</v>
      </c>
    </row>
    <row r="388" spans="1:10" ht="15.9" customHeight="1" x14ac:dyDescent="0.3">
      <c r="A388" s="1" t="s">
        <v>1169</v>
      </c>
      <c r="B388" s="2" t="s">
        <v>98</v>
      </c>
      <c r="C388" s="2" t="s">
        <v>12</v>
      </c>
      <c r="D388" s="2" t="s">
        <v>1170</v>
      </c>
      <c r="E388" s="2" t="s">
        <v>30</v>
      </c>
      <c r="F388" s="1" t="s">
        <v>167</v>
      </c>
      <c r="G388" s="1" t="s">
        <v>54</v>
      </c>
      <c r="H388" s="2"/>
      <c r="I388" s="1" t="s">
        <v>216</v>
      </c>
      <c r="J388" s="2" t="s">
        <v>91</v>
      </c>
    </row>
    <row r="389" spans="1:10" ht="15.9" customHeight="1" x14ac:dyDescent="0.3">
      <c r="A389" s="3" t="s">
        <v>1154</v>
      </c>
      <c r="B389" s="4" t="s">
        <v>227</v>
      </c>
      <c r="C389" s="4" t="s">
        <v>22</v>
      </c>
      <c r="D389" s="4" t="s">
        <v>1171</v>
      </c>
      <c r="E389" s="4" t="s">
        <v>1172</v>
      </c>
      <c r="F389" s="3" t="s">
        <v>1173</v>
      </c>
      <c r="G389" s="3" t="s">
        <v>16</v>
      </c>
      <c r="H389" s="4" t="s">
        <v>65</v>
      </c>
      <c r="I389" s="3"/>
      <c r="J389" s="4" t="s">
        <v>19</v>
      </c>
    </row>
    <row r="390" spans="1:10" ht="15.9" customHeight="1" x14ac:dyDescent="0.3">
      <c r="A390" s="1" t="s">
        <v>1174</v>
      </c>
      <c r="B390" s="2" t="s">
        <v>98</v>
      </c>
      <c r="C390" s="2" t="s">
        <v>62</v>
      </c>
      <c r="D390" s="2"/>
      <c r="E390" s="2" t="s">
        <v>981</v>
      </c>
      <c r="F390" s="1" t="s">
        <v>1175</v>
      </c>
      <c r="G390" s="1" t="s">
        <v>16</v>
      </c>
      <c r="H390" s="2" t="s">
        <v>17</v>
      </c>
      <c r="I390" s="1" t="s">
        <v>216</v>
      </c>
      <c r="J390" s="2" t="s">
        <v>143</v>
      </c>
    </row>
    <row r="391" spans="1:10" ht="15.9" customHeight="1" x14ac:dyDescent="0.3">
      <c r="A391" s="3" t="s">
        <v>1176</v>
      </c>
      <c r="B391" s="4" t="s">
        <v>206</v>
      </c>
      <c r="C391" s="4" t="s">
        <v>37</v>
      </c>
      <c r="D391" s="4" t="s">
        <v>1177</v>
      </c>
      <c r="E391" s="4" t="s">
        <v>1178</v>
      </c>
      <c r="F391" s="3" t="s">
        <v>1065</v>
      </c>
      <c r="G391" s="3" t="s">
        <v>54</v>
      </c>
      <c r="H391" s="4"/>
      <c r="I391" s="3" t="s">
        <v>26</v>
      </c>
      <c r="J391" s="4" t="s">
        <v>34</v>
      </c>
    </row>
    <row r="392" spans="1:10" ht="15.9" customHeight="1" x14ac:dyDescent="0.3">
      <c r="A392" s="1" t="s">
        <v>1179</v>
      </c>
      <c r="B392" s="2" t="s">
        <v>169</v>
      </c>
      <c r="C392" s="2" t="s">
        <v>22</v>
      </c>
      <c r="D392" s="2" t="s">
        <v>1180</v>
      </c>
      <c r="E392" s="2"/>
      <c r="F392" s="1" t="s">
        <v>922</v>
      </c>
      <c r="G392" s="1" t="s">
        <v>48</v>
      </c>
      <c r="H392" s="2" t="s">
        <v>125</v>
      </c>
      <c r="I392" s="1" t="s">
        <v>216</v>
      </c>
      <c r="J392" s="2" t="s">
        <v>19</v>
      </c>
    </row>
    <row r="393" spans="1:10" ht="15.9" customHeight="1" x14ac:dyDescent="0.3">
      <c r="A393" s="3" t="s">
        <v>1181</v>
      </c>
      <c r="B393" s="4" t="s">
        <v>75</v>
      </c>
      <c r="C393" s="4" t="s">
        <v>62</v>
      </c>
      <c r="D393" s="4" t="s">
        <v>1182</v>
      </c>
      <c r="E393" s="4" t="s">
        <v>30</v>
      </c>
      <c r="F393" s="3" t="s">
        <v>222</v>
      </c>
      <c r="G393" s="3" t="s">
        <v>16</v>
      </c>
      <c r="H393" s="4" t="s">
        <v>65</v>
      </c>
      <c r="I393" s="3" t="s">
        <v>112</v>
      </c>
      <c r="J393" s="4" t="s">
        <v>27</v>
      </c>
    </row>
    <row r="394" spans="1:10" ht="15.9" customHeight="1" x14ac:dyDescent="0.3">
      <c r="A394" s="1" t="s">
        <v>1183</v>
      </c>
      <c r="B394" s="2" t="s">
        <v>206</v>
      </c>
      <c r="C394" s="2" t="s">
        <v>37</v>
      </c>
      <c r="D394" s="2" t="s">
        <v>1184</v>
      </c>
      <c r="E394" s="2" t="s">
        <v>1185</v>
      </c>
      <c r="F394" s="1" t="s">
        <v>526</v>
      </c>
      <c r="G394" s="1" t="s">
        <v>33</v>
      </c>
      <c r="H394" s="2" t="s">
        <v>17</v>
      </c>
      <c r="I394" s="1" t="s">
        <v>112</v>
      </c>
      <c r="J394" s="2" t="s">
        <v>34</v>
      </c>
    </row>
    <row r="395" spans="1:10" ht="15.9" customHeight="1" x14ac:dyDescent="0.3">
      <c r="A395" s="3" t="s">
        <v>861</v>
      </c>
      <c r="B395" s="4" t="s">
        <v>647</v>
      </c>
      <c r="C395" s="4"/>
      <c r="D395" s="4" t="s">
        <v>1186</v>
      </c>
      <c r="E395" s="4" t="s">
        <v>1187</v>
      </c>
      <c r="F395" s="3" t="s">
        <v>1188</v>
      </c>
      <c r="G395" s="3" t="s">
        <v>111</v>
      </c>
      <c r="H395" s="4" t="s">
        <v>72</v>
      </c>
      <c r="I395" s="3" t="s">
        <v>18</v>
      </c>
      <c r="J395" s="4" t="s">
        <v>51</v>
      </c>
    </row>
    <row r="396" spans="1:10" ht="15.9" customHeight="1" x14ac:dyDescent="0.3">
      <c r="A396" s="1" t="s">
        <v>1189</v>
      </c>
      <c r="B396" s="2" t="s">
        <v>354</v>
      </c>
      <c r="C396" s="2" t="s">
        <v>119</v>
      </c>
      <c r="D396" s="2" t="s">
        <v>1190</v>
      </c>
      <c r="E396" s="2"/>
      <c r="F396" s="1" t="s">
        <v>249</v>
      </c>
      <c r="G396" s="1" t="s">
        <v>41</v>
      </c>
      <c r="H396" s="2" t="s">
        <v>65</v>
      </c>
      <c r="I396" s="1" t="s">
        <v>18</v>
      </c>
      <c r="J396" s="2" t="s">
        <v>19</v>
      </c>
    </row>
    <row r="397" spans="1:10" ht="15.9" customHeight="1" x14ac:dyDescent="0.3">
      <c r="A397" s="3" t="s">
        <v>1191</v>
      </c>
      <c r="B397" s="4" t="s">
        <v>98</v>
      </c>
      <c r="C397" s="4" t="s">
        <v>37</v>
      </c>
      <c r="D397" s="4"/>
      <c r="E397" s="4" t="s">
        <v>1163</v>
      </c>
      <c r="F397" s="3" t="s">
        <v>167</v>
      </c>
      <c r="G397" s="3" t="s">
        <v>79</v>
      </c>
      <c r="H397" s="4" t="s">
        <v>49</v>
      </c>
      <c r="I397" s="3" t="s">
        <v>112</v>
      </c>
      <c r="J397" s="4"/>
    </row>
    <row r="398" spans="1:10" ht="15.9" customHeight="1" x14ac:dyDescent="0.3">
      <c r="A398" s="1" t="s">
        <v>1192</v>
      </c>
      <c r="B398" s="2" t="s">
        <v>61</v>
      </c>
      <c r="C398" s="2" t="s">
        <v>62</v>
      </c>
      <c r="D398" s="2" t="s">
        <v>1193</v>
      </c>
      <c r="E398" s="2" t="s">
        <v>1194</v>
      </c>
      <c r="F398" s="1" t="s">
        <v>661</v>
      </c>
      <c r="G398" s="1" t="s">
        <v>142</v>
      </c>
      <c r="H398" s="2" t="s">
        <v>65</v>
      </c>
      <c r="I398" s="1" t="s">
        <v>73</v>
      </c>
      <c r="J398" s="2" t="s">
        <v>19</v>
      </c>
    </row>
    <row r="399" spans="1:10" ht="15.9" customHeight="1" x14ac:dyDescent="0.3">
      <c r="A399" s="3" t="s">
        <v>1195</v>
      </c>
      <c r="B399" s="4" t="s">
        <v>75</v>
      </c>
      <c r="C399" s="4" t="s">
        <v>12</v>
      </c>
      <c r="D399" s="4" t="s">
        <v>1196</v>
      </c>
      <c r="E399" s="4"/>
      <c r="F399" s="3" t="s">
        <v>1197</v>
      </c>
      <c r="G399" s="3" t="s">
        <v>41</v>
      </c>
      <c r="H399" s="4" t="s">
        <v>65</v>
      </c>
      <c r="I399" s="3" t="s">
        <v>18</v>
      </c>
      <c r="J399" s="4" t="s">
        <v>51</v>
      </c>
    </row>
    <row r="400" spans="1:10" ht="15.9" customHeight="1" x14ac:dyDescent="0.3">
      <c r="A400" s="1" t="s">
        <v>1198</v>
      </c>
      <c r="B400" s="2" t="s">
        <v>303</v>
      </c>
      <c r="C400" s="2" t="s">
        <v>37</v>
      </c>
      <c r="D400" s="2" t="s">
        <v>1199</v>
      </c>
      <c r="E400" s="2" t="s">
        <v>1200</v>
      </c>
      <c r="F400" s="1" t="s">
        <v>1201</v>
      </c>
      <c r="G400" s="1" t="s">
        <v>41</v>
      </c>
      <c r="H400" s="2" t="s">
        <v>42</v>
      </c>
      <c r="I400" s="1" t="s">
        <v>26</v>
      </c>
      <c r="J400" s="2" t="s">
        <v>27</v>
      </c>
    </row>
    <row r="401" spans="1:10" ht="15.9" customHeight="1" x14ac:dyDescent="0.3">
      <c r="A401" s="3" t="s">
        <v>1202</v>
      </c>
      <c r="B401" s="4" t="s">
        <v>227</v>
      </c>
      <c r="C401" s="4" t="s">
        <v>62</v>
      </c>
      <c r="D401" s="4" t="s">
        <v>1203</v>
      </c>
      <c r="E401" s="4" t="s">
        <v>30</v>
      </c>
      <c r="F401" s="3" t="s">
        <v>1204</v>
      </c>
      <c r="G401" s="3" t="s">
        <v>41</v>
      </c>
      <c r="H401" s="4" t="s">
        <v>125</v>
      </c>
      <c r="I401" s="3" t="s">
        <v>112</v>
      </c>
      <c r="J401" s="4" t="s">
        <v>19</v>
      </c>
    </row>
    <row r="402" spans="1:10" ht="15.9" customHeight="1" x14ac:dyDescent="0.3">
      <c r="A402" s="1" t="s">
        <v>1205</v>
      </c>
      <c r="B402" s="2" t="s">
        <v>290</v>
      </c>
      <c r="C402" s="2"/>
      <c r="D402" s="2" t="s">
        <v>1206</v>
      </c>
      <c r="E402" s="2"/>
      <c r="F402" s="1" t="s">
        <v>191</v>
      </c>
      <c r="G402" s="1" t="s">
        <v>54</v>
      </c>
      <c r="H402" s="2"/>
      <c r="I402" s="1"/>
      <c r="J402" s="2" t="s">
        <v>51</v>
      </c>
    </row>
    <row r="403" spans="1:10" ht="15.9" customHeight="1" x14ac:dyDescent="0.3">
      <c r="A403" s="3" t="s">
        <v>770</v>
      </c>
      <c r="B403" s="4" t="s">
        <v>149</v>
      </c>
      <c r="C403" s="4" t="s">
        <v>119</v>
      </c>
      <c r="D403" s="4" t="s">
        <v>1207</v>
      </c>
      <c r="E403" s="4" t="s">
        <v>1208</v>
      </c>
      <c r="F403" s="3" t="s">
        <v>1209</v>
      </c>
      <c r="G403" s="3" t="s">
        <v>142</v>
      </c>
      <c r="H403" s="4" t="s">
        <v>65</v>
      </c>
      <c r="I403" s="3" t="s">
        <v>112</v>
      </c>
      <c r="J403" s="4" t="s">
        <v>27</v>
      </c>
    </row>
    <row r="404" spans="1:10" ht="15.9" customHeight="1" x14ac:dyDescent="0.3">
      <c r="A404" s="1" t="s">
        <v>1210</v>
      </c>
      <c r="B404" s="2" t="s">
        <v>275</v>
      </c>
      <c r="C404" s="2" t="s">
        <v>45</v>
      </c>
      <c r="D404" s="2" t="s">
        <v>1211</v>
      </c>
      <c r="E404" s="2"/>
      <c r="F404" s="1" t="s">
        <v>1212</v>
      </c>
      <c r="G404" s="1" t="s">
        <v>142</v>
      </c>
      <c r="H404" s="2" t="s">
        <v>25</v>
      </c>
      <c r="I404" s="1" t="s">
        <v>26</v>
      </c>
      <c r="J404" s="2" t="s">
        <v>51</v>
      </c>
    </row>
    <row r="405" spans="1:10" ht="15.9" customHeight="1" x14ac:dyDescent="0.3">
      <c r="A405" s="3" t="s">
        <v>1213</v>
      </c>
      <c r="B405" s="4" t="s">
        <v>44</v>
      </c>
      <c r="C405" s="4"/>
      <c r="D405" s="4" t="s">
        <v>1214</v>
      </c>
      <c r="E405" s="4"/>
      <c r="F405" s="3" t="s">
        <v>1215</v>
      </c>
      <c r="G405" s="3" t="s">
        <v>41</v>
      </c>
      <c r="H405" s="4" t="s">
        <v>83</v>
      </c>
      <c r="I405" s="3" t="s">
        <v>73</v>
      </c>
      <c r="J405" s="4" t="s">
        <v>106</v>
      </c>
    </row>
    <row r="406" spans="1:10" ht="15.9" customHeight="1" x14ac:dyDescent="0.3">
      <c r="A406" s="1" t="s">
        <v>1216</v>
      </c>
      <c r="B406" s="2" t="s">
        <v>11</v>
      </c>
      <c r="C406" s="2" t="s">
        <v>119</v>
      </c>
      <c r="D406" s="2"/>
      <c r="E406" s="2" t="s">
        <v>1217</v>
      </c>
      <c r="F406" s="1" t="s">
        <v>409</v>
      </c>
      <c r="G406" s="1" t="s">
        <v>54</v>
      </c>
      <c r="H406" s="2" t="s">
        <v>25</v>
      </c>
      <c r="I406" s="1" t="s">
        <v>216</v>
      </c>
      <c r="J406" s="2"/>
    </row>
    <row r="407" spans="1:10" ht="15.9" customHeight="1" x14ac:dyDescent="0.3">
      <c r="A407" s="3" t="s">
        <v>1218</v>
      </c>
      <c r="B407" s="4" t="s">
        <v>202</v>
      </c>
      <c r="C407" s="4" t="s">
        <v>62</v>
      </c>
      <c r="D407" s="4" t="s">
        <v>1219</v>
      </c>
      <c r="E407" s="4" t="s">
        <v>1220</v>
      </c>
      <c r="F407" s="3" t="s">
        <v>466</v>
      </c>
      <c r="G407" s="3" t="s">
        <v>79</v>
      </c>
      <c r="H407" s="4" t="s">
        <v>42</v>
      </c>
      <c r="I407" s="3" t="s">
        <v>216</v>
      </c>
      <c r="J407" s="4" t="s">
        <v>34</v>
      </c>
    </row>
    <row r="408" spans="1:10" ht="15.9" customHeight="1" x14ac:dyDescent="0.3">
      <c r="A408" s="1" t="s">
        <v>1221</v>
      </c>
      <c r="B408" s="2" t="s">
        <v>381</v>
      </c>
      <c r="C408" s="2" t="s">
        <v>62</v>
      </c>
      <c r="D408" s="2" t="s">
        <v>1222</v>
      </c>
      <c r="E408" s="2"/>
      <c r="F408" s="1" t="s">
        <v>293</v>
      </c>
      <c r="G408" s="1" t="s">
        <v>54</v>
      </c>
      <c r="H408" s="2" t="s">
        <v>42</v>
      </c>
      <c r="I408" s="1" t="s">
        <v>50</v>
      </c>
      <c r="J408" s="2" t="s">
        <v>27</v>
      </c>
    </row>
    <row r="409" spans="1:10" ht="15.9" customHeight="1" x14ac:dyDescent="0.3">
      <c r="A409" s="3" t="s">
        <v>1223</v>
      </c>
      <c r="B409" s="4" t="s">
        <v>98</v>
      </c>
      <c r="C409" s="4" t="s">
        <v>45</v>
      </c>
      <c r="D409" s="4" t="s">
        <v>1224</v>
      </c>
      <c r="E409" s="4" t="s">
        <v>1225</v>
      </c>
      <c r="F409" s="3" t="s">
        <v>147</v>
      </c>
      <c r="G409" s="3" t="s">
        <v>48</v>
      </c>
      <c r="H409" s="4" t="s">
        <v>72</v>
      </c>
      <c r="I409" s="3" t="s">
        <v>112</v>
      </c>
      <c r="J409" s="4" t="s">
        <v>34</v>
      </c>
    </row>
    <row r="410" spans="1:10" ht="15.9" customHeight="1" x14ac:dyDescent="0.3">
      <c r="A410" s="1" t="s">
        <v>1226</v>
      </c>
      <c r="B410" s="2" t="s">
        <v>98</v>
      </c>
      <c r="C410" s="2" t="s">
        <v>45</v>
      </c>
      <c r="D410" s="2" t="s">
        <v>1227</v>
      </c>
      <c r="E410" s="2" t="s">
        <v>30</v>
      </c>
      <c r="F410" s="1" t="s">
        <v>1228</v>
      </c>
      <c r="G410" s="1" t="s">
        <v>41</v>
      </c>
      <c r="H410" s="2" t="s">
        <v>72</v>
      </c>
      <c r="I410" s="1" t="s">
        <v>112</v>
      </c>
      <c r="J410" s="2" t="s">
        <v>143</v>
      </c>
    </row>
    <row r="411" spans="1:10" ht="15.9" customHeight="1" x14ac:dyDescent="0.3">
      <c r="A411" s="3" t="s">
        <v>1229</v>
      </c>
      <c r="B411" s="4" t="s">
        <v>149</v>
      </c>
      <c r="C411" s="4" t="s">
        <v>37</v>
      </c>
      <c r="D411" s="4"/>
      <c r="E411" s="4" t="s">
        <v>1230</v>
      </c>
      <c r="F411" s="3" t="s">
        <v>1231</v>
      </c>
      <c r="G411" s="3" t="s">
        <v>33</v>
      </c>
      <c r="H411" s="4" t="s">
        <v>72</v>
      </c>
      <c r="I411" s="3" t="s">
        <v>26</v>
      </c>
      <c r="J411" s="4"/>
    </row>
    <row r="412" spans="1:10" ht="15.9" customHeight="1" x14ac:dyDescent="0.3">
      <c r="A412" s="1" t="s">
        <v>1232</v>
      </c>
      <c r="B412" s="2" t="s">
        <v>303</v>
      </c>
      <c r="C412" s="2" t="s">
        <v>62</v>
      </c>
      <c r="D412" s="2" t="s">
        <v>1233</v>
      </c>
      <c r="E412" s="2" t="s">
        <v>488</v>
      </c>
      <c r="F412" s="1" t="s">
        <v>371</v>
      </c>
      <c r="G412" s="1" t="s">
        <v>79</v>
      </c>
      <c r="H412" s="2" t="s">
        <v>125</v>
      </c>
      <c r="I412" s="1"/>
      <c r="J412" s="2"/>
    </row>
    <row r="413" spans="1:10" ht="15.9" customHeight="1" x14ac:dyDescent="0.3">
      <c r="A413" s="3" t="s">
        <v>1234</v>
      </c>
      <c r="B413" s="4" t="s">
        <v>597</v>
      </c>
      <c r="C413" s="4" t="s">
        <v>119</v>
      </c>
      <c r="D413" s="4" t="s">
        <v>1235</v>
      </c>
      <c r="E413" s="4" t="s">
        <v>30</v>
      </c>
      <c r="F413" s="3" t="s">
        <v>1236</v>
      </c>
      <c r="G413" s="3" t="s">
        <v>111</v>
      </c>
      <c r="H413" s="4" t="s">
        <v>65</v>
      </c>
      <c r="I413" s="3" t="s">
        <v>73</v>
      </c>
      <c r="J413" s="4" t="s">
        <v>143</v>
      </c>
    </row>
    <row r="414" spans="1:10" ht="15.9" customHeight="1" x14ac:dyDescent="0.3">
      <c r="A414" s="1" t="s">
        <v>1237</v>
      </c>
      <c r="B414" s="2" t="s">
        <v>193</v>
      </c>
      <c r="C414" s="2" t="s">
        <v>37</v>
      </c>
      <c r="D414" s="2" t="s">
        <v>1238</v>
      </c>
      <c r="E414" s="2" t="s">
        <v>1239</v>
      </c>
      <c r="F414" s="1" t="s">
        <v>1240</v>
      </c>
      <c r="G414" s="1" t="s">
        <v>16</v>
      </c>
      <c r="H414" s="2"/>
      <c r="I414" s="1" t="s">
        <v>18</v>
      </c>
      <c r="J414" s="2" t="s">
        <v>106</v>
      </c>
    </row>
    <row r="415" spans="1:10" ht="15.9" customHeight="1" x14ac:dyDescent="0.3">
      <c r="A415" s="3" t="s">
        <v>1241</v>
      </c>
      <c r="B415" s="4" t="s">
        <v>227</v>
      </c>
      <c r="C415" s="4"/>
      <c r="D415" s="4"/>
      <c r="E415" s="4" t="s">
        <v>1187</v>
      </c>
      <c r="F415" s="3" t="s">
        <v>1032</v>
      </c>
      <c r="G415" s="3" t="s">
        <v>33</v>
      </c>
      <c r="H415" s="4" t="s">
        <v>65</v>
      </c>
      <c r="I415" s="3" t="s">
        <v>26</v>
      </c>
      <c r="J415" s="4" t="s">
        <v>106</v>
      </c>
    </row>
    <row r="416" spans="1:10" ht="15.9" customHeight="1" x14ac:dyDescent="0.3">
      <c r="A416" s="1" t="s">
        <v>1242</v>
      </c>
      <c r="B416" s="2" t="s">
        <v>463</v>
      </c>
      <c r="C416" s="2"/>
      <c r="D416" s="2" t="s">
        <v>1243</v>
      </c>
      <c r="E416" s="2" t="s">
        <v>1244</v>
      </c>
      <c r="F416" s="1" t="s">
        <v>790</v>
      </c>
      <c r="G416" s="1" t="s">
        <v>48</v>
      </c>
      <c r="H416" s="2" t="s">
        <v>65</v>
      </c>
      <c r="I416" s="1" t="s">
        <v>73</v>
      </c>
      <c r="J416" s="2" t="s">
        <v>91</v>
      </c>
    </row>
    <row r="417" spans="1:10" ht="15.9" customHeight="1" x14ac:dyDescent="0.3">
      <c r="A417" s="3" t="s">
        <v>1245</v>
      </c>
      <c r="B417" s="4" t="s">
        <v>381</v>
      </c>
      <c r="C417" s="4" t="s">
        <v>62</v>
      </c>
      <c r="D417" s="4" t="s">
        <v>1246</v>
      </c>
      <c r="E417" s="4" t="s">
        <v>846</v>
      </c>
      <c r="F417" s="3" t="s">
        <v>24</v>
      </c>
      <c r="G417" s="3" t="s">
        <v>41</v>
      </c>
      <c r="H417" s="4" t="s">
        <v>125</v>
      </c>
      <c r="I417" s="3"/>
      <c r="J417" s="4"/>
    </row>
    <row r="418" spans="1:10" ht="15.9" customHeight="1" x14ac:dyDescent="0.3">
      <c r="A418" s="1" t="s">
        <v>1247</v>
      </c>
      <c r="B418" s="2" t="s">
        <v>381</v>
      </c>
      <c r="C418" s="2" t="s">
        <v>119</v>
      </c>
      <c r="D418" s="2" t="s">
        <v>1248</v>
      </c>
      <c r="E418" s="2" t="s">
        <v>1249</v>
      </c>
      <c r="F418" s="1" t="s">
        <v>1032</v>
      </c>
      <c r="G418" s="1" t="s">
        <v>142</v>
      </c>
      <c r="H418" s="2" t="s">
        <v>25</v>
      </c>
      <c r="I418" s="1" t="s">
        <v>112</v>
      </c>
      <c r="J418" s="2" t="s">
        <v>106</v>
      </c>
    </row>
    <row r="419" spans="1:10" ht="15.9" customHeight="1" x14ac:dyDescent="0.3">
      <c r="A419" s="3" t="s">
        <v>1250</v>
      </c>
      <c r="B419" s="4" t="s">
        <v>342</v>
      </c>
      <c r="C419" s="4"/>
      <c r="D419" s="4" t="s">
        <v>1251</v>
      </c>
      <c r="E419" s="4" t="s">
        <v>1252</v>
      </c>
      <c r="F419" s="3" t="s">
        <v>802</v>
      </c>
      <c r="G419" s="3" t="s">
        <v>54</v>
      </c>
      <c r="H419" s="4" t="s">
        <v>49</v>
      </c>
      <c r="I419" s="3" t="s">
        <v>112</v>
      </c>
      <c r="J419" s="4" t="s">
        <v>143</v>
      </c>
    </row>
    <row r="420" spans="1:10" ht="15.9" customHeight="1" x14ac:dyDescent="0.3">
      <c r="A420" s="1" t="s">
        <v>1253</v>
      </c>
      <c r="B420" s="2" t="s">
        <v>98</v>
      </c>
      <c r="C420" s="2" t="s">
        <v>37</v>
      </c>
      <c r="D420" s="2" t="s">
        <v>1254</v>
      </c>
      <c r="E420" s="2"/>
      <c r="F420" s="1" t="s">
        <v>1255</v>
      </c>
      <c r="G420" s="1" t="s">
        <v>142</v>
      </c>
      <c r="H420" s="2" t="s">
        <v>125</v>
      </c>
      <c r="I420" s="1" t="s">
        <v>50</v>
      </c>
      <c r="J420" s="2" t="s">
        <v>143</v>
      </c>
    </row>
    <row r="421" spans="1:10" ht="15.9" customHeight="1" x14ac:dyDescent="0.3">
      <c r="A421" s="3" t="s">
        <v>1256</v>
      </c>
      <c r="B421" s="4" t="s">
        <v>56</v>
      </c>
      <c r="C421" s="4" t="s">
        <v>12</v>
      </c>
      <c r="D421" s="4" t="s">
        <v>1257</v>
      </c>
      <c r="E421" s="4" t="s">
        <v>30</v>
      </c>
      <c r="F421" s="3" t="s">
        <v>661</v>
      </c>
      <c r="G421" s="3" t="s">
        <v>48</v>
      </c>
      <c r="H421" s="4" t="s">
        <v>72</v>
      </c>
      <c r="I421" s="3" t="s">
        <v>112</v>
      </c>
      <c r="J421" s="4" t="s">
        <v>19</v>
      </c>
    </row>
    <row r="422" spans="1:10" ht="15.9" customHeight="1" x14ac:dyDescent="0.3">
      <c r="A422" s="1" t="s">
        <v>1258</v>
      </c>
      <c r="B422" s="2" t="s">
        <v>11</v>
      </c>
      <c r="C422" s="2" t="s">
        <v>37</v>
      </c>
      <c r="D422" s="2" t="s">
        <v>30</v>
      </c>
      <c r="E422" s="2" t="s">
        <v>1259</v>
      </c>
      <c r="F422" s="1" t="s">
        <v>1260</v>
      </c>
      <c r="G422" s="1" t="s">
        <v>33</v>
      </c>
      <c r="H422" s="2" t="s">
        <v>42</v>
      </c>
      <c r="I422" s="1"/>
      <c r="J422" s="2"/>
    </row>
    <row r="423" spans="1:10" ht="15.9" customHeight="1" x14ac:dyDescent="0.3">
      <c r="A423" s="3" t="s">
        <v>1261</v>
      </c>
      <c r="B423" s="4" t="s">
        <v>134</v>
      </c>
      <c r="C423" s="4" t="s">
        <v>62</v>
      </c>
      <c r="D423" s="4" t="s">
        <v>1262</v>
      </c>
      <c r="E423" s="4" t="s">
        <v>762</v>
      </c>
      <c r="F423" s="3" t="s">
        <v>1263</v>
      </c>
      <c r="G423" s="3" t="s">
        <v>48</v>
      </c>
      <c r="H423" s="4" t="s">
        <v>25</v>
      </c>
      <c r="I423" s="3" t="s">
        <v>112</v>
      </c>
      <c r="J423" s="4" t="s">
        <v>66</v>
      </c>
    </row>
    <row r="424" spans="1:10" ht="15.9" customHeight="1" x14ac:dyDescent="0.3">
      <c r="A424" s="1" t="s">
        <v>1264</v>
      </c>
      <c r="B424" s="2" t="s">
        <v>342</v>
      </c>
      <c r="C424" s="2"/>
      <c r="D424" s="2" t="s">
        <v>1265</v>
      </c>
      <c r="E424" s="2" t="s">
        <v>1266</v>
      </c>
      <c r="F424" s="1" t="s">
        <v>174</v>
      </c>
      <c r="G424" s="1" t="s">
        <v>41</v>
      </c>
      <c r="H424" s="2" t="s">
        <v>17</v>
      </c>
      <c r="I424" s="1" t="s">
        <v>26</v>
      </c>
      <c r="J424" s="2" t="s">
        <v>106</v>
      </c>
    </row>
    <row r="425" spans="1:10" ht="15.9" customHeight="1" x14ac:dyDescent="0.3">
      <c r="A425" s="3" t="s">
        <v>919</v>
      </c>
      <c r="B425" s="4" t="s">
        <v>68</v>
      </c>
      <c r="C425" s="4" t="s">
        <v>45</v>
      </c>
      <c r="D425" s="4" t="s">
        <v>1267</v>
      </c>
      <c r="E425" s="4" t="s">
        <v>63</v>
      </c>
      <c r="F425" s="3" t="s">
        <v>315</v>
      </c>
      <c r="G425" s="3" t="s">
        <v>54</v>
      </c>
      <c r="H425" s="4" t="s">
        <v>125</v>
      </c>
      <c r="I425" s="3"/>
      <c r="J425" s="4" t="s">
        <v>143</v>
      </c>
    </row>
    <row r="426" spans="1:10" ht="15.9" customHeight="1" x14ac:dyDescent="0.3">
      <c r="A426" s="1" t="s">
        <v>1268</v>
      </c>
      <c r="B426" s="2" t="s">
        <v>68</v>
      </c>
      <c r="C426" s="2" t="s">
        <v>12</v>
      </c>
      <c r="D426" s="2" t="s">
        <v>1269</v>
      </c>
      <c r="E426" s="2" t="s">
        <v>1270</v>
      </c>
      <c r="F426" s="1" t="s">
        <v>1271</v>
      </c>
      <c r="G426" s="1" t="s">
        <v>111</v>
      </c>
      <c r="H426" s="2" t="s">
        <v>72</v>
      </c>
      <c r="I426" s="1" t="s">
        <v>216</v>
      </c>
      <c r="J426" s="2" t="s">
        <v>106</v>
      </c>
    </row>
    <row r="427" spans="1:10" ht="15.9" customHeight="1" x14ac:dyDescent="0.3">
      <c r="A427" s="3" t="s">
        <v>1272</v>
      </c>
      <c r="B427" s="4" t="s">
        <v>29</v>
      </c>
      <c r="C427" s="4" t="s">
        <v>22</v>
      </c>
      <c r="D427" s="4"/>
      <c r="E427" s="4" t="s">
        <v>512</v>
      </c>
      <c r="F427" s="3" t="s">
        <v>361</v>
      </c>
      <c r="G427" s="3" t="s">
        <v>111</v>
      </c>
      <c r="H427" s="4" t="s">
        <v>83</v>
      </c>
      <c r="I427" s="3" t="s">
        <v>18</v>
      </c>
      <c r="J427" s="4" t="s">
        <v>51</v>
      </c>
    </row>
    <row r="428" spans="1:10" ht="15.9" customHeight="1" x14ac:dyDescent="0.3">
      <c r="A428" s="1" t="s">
        <v>1273</v>
      </c>
      <c r="B428" s="2" t="s">
        <v>56</v>
      </c>
      <c r="C428" s="2" t="s">
        <v>45</v>
      </c>
      <c r="D428" s="2" t="s">
        <v>1274</v>
      </c>
      <c r="E428" s="2" t="s">
        <v>1187</v>
      </c>
      <c r="F428" s="1" t="s">
        <v>293</v>
      </c>
      <c r="G428" s="1" t="s">
        <v>54</v>
      </c>
      <c r="H428" s="2" t="s">
        <v>49</v>
      </c>
      <c r="I428" s="1" t="s">
        <v>26</v>
      </c>
      <c r="J428" s="2" t="s">
        <v>106</v>
      </c>
    </row>
    <row r="429" spans="1:10" ht="15.9" customHeight="1" x14ac:dyDescent="0.3">
      <c r="A429" s="3" t="s">
        <v>1275</v>
      </c>
      <c r="B429" s="4" t="s">
        <v>56</v>
      </c>
      <c r="C429" s="4" t="s">
        <v>119</v>
      </c>
      <c r="D429" s="4" t="s">
        <v>1276</v>
      </c>
      <c r="E429" s="4" t="s">
        <v>30</v>
      </c>
      <c r="F429" s="3" t="s">
        <v>563</v>
      </c>
      <c r="G429" s="3" t="s">
        <v>142</v>
      </c>
      <c r="H429" s="4" t="s">
        <v>17</v>
      </c>
      <c r="I429" s="3" t="s">
        <v>18</v>
      </c>
      <c r="J429" s="4" t="s">
        <v>51</v>
      </c>
    </row>
    <row r="430" spans="1:10" ht="15.9" customHeight="1" x14ac:dyDescent="0.3">
      <c r="A430" s="1" t="s">
        <v>1277</v>
      </c>
      <c r="B430" s="2" t="s">
        <v>68</v>
      </c>
      <c r="C430" s="2" t="s">
        <v>62</v>
      </c>
      <c r="D430" s="2" t="s">
        <v>1278</v>
      </c>
      <c r="E430" s="2" t="s">
        <v>1279</v>
      </c>
      <c r="F430" s="1" t="s">
        <v>1280</v>
      </c>
      <c r="G430" s="1" t="s">
        <v>142</v>
      </c>
      <c r="H430" s="2" t="s">
        <v>25</v>
      </c>
      <c r="I430" s="1" t="s">
        <v>18</v>
      </c>
      <c r="J430" s="2" t="s">
        <v>19</v>
      </c>
    </row>
    <row r="431" spans="1:10" ht="15.9" customHeight="1" x14ac:dyDescent="0.3">
      <c r="A431" s="3" t="s">
        <v>1281</v>
      </c>
      <c r="B431" s="4" t="s">
        <v>118</v>
      </c>
      <c r="C431" s="4" t="s">
        <v>12</v>
      </c>
      <c r="D431" s="4" t="s">
        <v>1282</v>
      </c>
      <c r="E431" s="4" t="s">
        <v>404</v>
      </c>
      <c r="F431" s="3" t="s">
        <v>798</v>
      </c>
      <c r="G431" s="3" t="s">
        <v>142</v>
      </c>
      <c r="H431" s="4" t="s">
        <v>72</v>
      </c>
      <c r="I431" s="3" t="s">
        <v>26</v>
      </c>
      <c r="J431" s="4" t="s">
        <v>19</v>
      </c>
    </row>
    <row r="432" spans="1:10" ht="15.9" customHeight="1" x14ac:dyDescent="0.3">
      <c r="A432" s="1" t="s">
        <v>1283</v>
      </c>
      <c r="B432" s="2" t="s">
        <v>68</v>
      </c>
      <c r="C432" s="2" t="s">
        <v>45</v>
      </c>
      <c r="D432" s="2"/>
      <c r="E432" s="2" t="s">
        <v>376</v>
      </c>
      <c r="F432" s="1" t="s">
        <v>790</v>
      </c>
      <c r="G432" s="1" t="s">
        <v>79</v>
      </c>
      <c r="H432" s="2" t="s">
        <v>83</v>
      </c>
      <c r="I432" s="1" t="s">
        <v>26</v>
      </c>
      <c r="J432" s="2" t="s">
        <v>91</v>
      </c>
    </row>
    <row r="433" spans="1:10" ht="15.9" customHeight="1" x14ac:dyDescent="0.3">
      <c r="A433" s="3" t="s">
        <v>1284</v>
      </c>
      <c r="B433" s="4" t="s">
        <v>157</v>
      </c>
      <c r="C433" s="4" t="s">
        <v>62</v>
      </c>
      <c r="D433" s="4" t="s">
        <v>1285</v>
      </c>
      <c r="E433" s="4"/>
      <c r="F433" s="3" t="s">
        <v>1209</v>
      </c>
      <c r="G433" s="3" t="s">
        <v>142</v>
      </c>
      <c r="H433" s="4" t="s">
        <v>25</v>
      </c>
      <c r="I433" s="3" t="s">
        <v>26</v>
      </c>
      <c r="J433" s="4" t="s">
        <v>66</v>
      </c>
    </row>
    <row r="434" spans="1:10" ht="15.9" customHeight="1" x14ac:dyDescent="0.3">
      <c r="A434" s="1" t="s">
        <v>1286</v>
      </c>
      <c r="B434" s="2" t="s">
        <v>381</v>
      </c>
      <c r="C434" s="2"/>
      <c r="D434" s="2" t="s">
        <v>1287</v>
      </c>
      <c r="E434" s="2" t="s">
        <v>1288</v>
      </c>
      <c r="F434" s="1" t="s">
        <v>1289</v>
      </c>
      <c r="G434" s="1" t="s">
        <v>142</v>
      </c>
      <c r="H434" s="2" t="s">
        <v>125</v>
      </c>
      <c r="I434" s="1" t="s">
        <v>216</v>
      </c>
      <c r="J434" s="2"/>
    </row>
    <row r="435" spans="1:10" ht="15.9" customHeight="1" x14ac:dyDescent="0.3">
      <c r="A435" s="3" t="s">
        <v>1290</v>
      </c>
      <c r="B435" s="4" t="s">
        <v>197</v>
      </c>
      <c r="C435" s="4" t="s">
        <v>62</v>
      </c>
      <c r="D435" s="4" t="s">
        <v>1291</v>
      </c>
      <c r="E435" s="4" t="s">
        <v>1292</v>
      </c>
      <c r="F435" s="3" t="s">
        <v>1293</v>
      </c>
      <c r="G435" s="3" t="s">
        <v>79</v>
      </c>
      <c r="H435" s="4" t="s">
        <v>42</v>
      </c>
      <c r="I435" s="3" t="s">
        <v>26</v>
      </c>
      <c r="J435" s="4" t="s">
        <v>19</v>
      </c>
    </row>
    <row r="436" spans="1:10" ht="15.9" customHeight="1" x14ac:dyDescent="0.3">
      <c r="A436" s="1" t="s">
        <v>787</v>
      </c>
      <c r="B436" s="2" t="s">
        <v>165</v>
      </c>
      <c r="C436" s="2"/>
      <c r="D436" s="2" t="s">
        <v>1294</v>
      </c>
      <c r="E436" s="2" t="s">
        <v>1295</v>
      </c>
      <c r="F436" s="1" t="s">
        <v>802</v>
      </c>
      <c r="G436" s="1" t="s">
        <v>79</v>
      </c>
      <c r="H436" s="2" t="s">
        <v>42</v>
      </c>
      <c r="I436" s="1" t="s">
        <v>18</v>
      </c>
      <c r="J436" s="2" t="s">
        <v>66</v>
      </c>
    </row>
    <row r="437" spans="1:10" ht="15.9" customHeight="1" x14ac:dyDescent="0.3">
      <c r="A437" s="3" t="s">
        <v>1296</v>
      </c>
      <c r="B437" s="4" t="s">
        <v>240</v>
      </c>
      <c r="C437" s="4"/>
      <c r="D437" s="4" t="s">
        <v>1297</v>
      </c>
      <c r="E437" s="4" t="s">
        <v>1298</v>
      </c>
      <c r="F437" s="3" t="s">
        <v>1299</v>
      </c>
      <c r="G437" s="3" t="s">
        <v>111</v>
      </c>
      <c r="H437" s="4" t="s">
        <v>42</v>
      </c>
      <c r="I437" s="3" t="s">
        <v>112</v>
      </c>
      <c r="J437" s="4" t="s">
        <v>143</v>
      </c>
    </row>
    <row r="438" spans="1:10" ht="15.9" customHeight="1" x14ac:dyDescent="0.3">
      <c r="A438" s="1" t="s">
        <v>1300</v>
      </c>
      <c r="B438" s="2" t="s">
        <v>197</v>
      </c>
      <c r="C438" s="2" t="s">
        <v>119</v>
      </c>
      <c r="D438" s="2" t="s">
        <v>1301</v>
      </c>
      <c r="E438" s="2"/>
      <c r="F438" s="1" t="s">
        <v>453</v>
      </c>
      <c r="G438" s="1" t="s">
        <v>111</v>
      </c>
      <c r="H438" s="2"/>
      <c r="I438" s="1" t="s">
        <v>112</v>
      </c>
      <c r="J438" s="2" t="s">
        <v>27</v>
      </c>
    </row>
    <row r="439" spans="1:10" ht="15.9" customHeight="1" x14ac:dyDescent="0.3">
      <c r="A439" s="3" t="s">
        <v>1302</v>
      </c>
      <c r="B439" s="4" t="s">
        <v>93</v>
      </c>
      <c r="C439" s="4" t="s">
        <v>62</v>
      </c>
      <c r="D439" s="4"/>
      <c r="E439" s="4" t="s">
        <v>828</v>
      </c>
      <c r="F439" s="3" t="s">
        <v>505</v>
      </c>
      <c r="G439" s="3" t="s">
        <v>48</v>
      </c>
      <c r="H439" s="4" t="s">
        <v>125</v>
      </c>
      <c r="I439" s="3" t="s">
        <v>112</v>
      </c>
      <c r="J439" s="4" t="s">
        <v>66</v>
      </c>
    </row>
    <row r="440" spans="1:10" ht="15.9" customHeight="1" x14ac:dyDescent="0.3">
      <c r="A440" s="1" t="s">
        <v>1303</v>
      </c>
      <c r="B440" s="2" t="s">
        <v>202</v>
      </c>
      <c r="C440" s="2" t="s">
        <v>45</v>
      </c>
      <c r="D440" s="2" t="s">
        <v>30</v>
      </c>
      <c r="E440" s="2"/>
      <c r="F440" s="1" t="s">
        <v>903</v>
      </c>
      <c r="G440" s="1" t="s">
        <v>16</v>
      </c>
      <c r="H440" s="2" t="s">
        <v>65</v>
      </c>
      <c r="I440" s="1" t="s">
        <v>26</v>
      </c>
      <c r="J440" s="2"/>
    </row>
    <row r="441" spans="1:10" ht="15.9" customHeight="1" x14ac:dyDescent="0.3">
      <c r="A441" s="3" t="s">
        <v>1304</v>
      </c>
      <c r="B441" s="4" t="s">
        <v>197</v>
      </c>
      <c r="C441" s="4" t="s">
        <v>119</v>
      </c>
      <c r="D441" s="4" t="s">
        <v>1305</v>
      </c>
      <c r="E441" s="4" t="s">
        <v>1292</v>
      </c>
      <c r="F441" s="3" t="s">
        <v>1306</v>
      </c>
      <c r="G441" s="3" t="s">
        <v>48</v>
      </c>
      <c r="H441" s="4" t="s">
        <v>25</v>
      </c>
      <c r="I441" s="3" t="s">
        <v>216</v>
      </c>
      <c r="J441" s="4" t="s">
        <v>66</v>
      </c>
    </row>
    <row r="442" spans="1:10" ht="15.9" customHeight="1" x14ac:dyDescent="0.3">
      <c r="A442" s="1" t="s">
        <v>1307</v>
      </c>
      <c r="B442" s="2" t="s">
        <v>298</v>
      </c>
      <c r="C442" s="2" t="s">
        <v>22</v>
      </c>
      <c r="D442" s="2" t="s">
        <v>1308</v>
      </c>
      <c r="E442" s="2"/>
      <c r="F442" s="1" t="s">
        <v>1309</v>
      </c>
      <c r="G442" s="1" t="s">
        <v>48</v>
      </c>
      <c r="H442" s="2" t="s">
        <v>83</v>
      </c>
      <c r="I442" s="1" t="s">
        <v>50</v>
      </c>
      <c r="J442" s="2" t="s">
        <v>27</v>
      </c>
    </row>
    <row r="443" spans="1:10" ht="15.9" customHeight="1" x14ac:dyDescent="0.3">
      <c r="A443" s="3" t="s">
        <v>1310</v>
      </c>
      <c r="B443" s="4" t="s">
        <v>11</v>
      </c>
      <c r="C443" s="4" t="s">
        <v>22</v>
      </c>
      <c r="D443" s="4" t="s">
        <v>1311</v>
      </c>
      <c r="E443" s="4" t="s">
        <v>1312</v>
      </c>
      <c r="F443" s="3" t="s">
        <v>195</v>
      </c>
      <c r="G443" s="3" t="s">
        <v>142</v>
      </c>
      <c r="H443" s="4" t="s">
        <v>17</v>
      </c>
      <c r="I443" s="3" t="s">
        <v>73</v>
      </c>
      <c r="J443" s="4" t="s">
        <v>106</v>
      </c>
    </row>
    <row r="444" spans="1:10" ht="15.9" customHeight="1" x14ac:dyDescent="0.3">
      <c r="A444" s="1" t="s">
        <v>591</v>
      </c>
      <c r="B444" s="2" t="s">
        <v>36</v>
      </c>
      <c r="C444" s="2" t="s">
        <v>45</v>
      </c>
      <c r="D444" s="2" t="s">
        <v>1313</v>
      </c>
      <c r="E444" s="2" t="s">
        <v>1314</v>
      </c>
      <c r="F444" s="1" t="s">
        <v>1315</v>
      </c>
      <c r="G444" s="1" t="s">
        <v>16</v>
      </c>
      <c r="H444" s="2" t="s">
        <v>17</v>
      </c>
      <c r="I444" s="1" t="s">
        <v>73</v>
      </c>
      <c r="J444" s="2" t="s">
        <v>143</v>
      </c>
    </row>
    <row r="445" spans="1:10" ht="15.9" customHeight="1" x14ac:dyDescent="0.3">
      <c r="A445" s="3" t="s">
        <v>1316</v>
      </c>
      <c r="B445" s="4" t="s">
        <v>157</v>
      </c>
      <c r="C445" s="4"/>
      <c r="D445" s="4" t="s">
        <v>1317</v>
      </c>
      <c r="E445" s="4" t="s">
        <v>1318</v>
      </c>
      <c r="F445" s="3" t="s">
        <v>539</v>
      </c>
      <c r="G445" s="3" t="s">
        <v>16</v>
      </c>
      <c r="H445" s="4" t="s">
        <v>42</v>
      </c>
      <c r="I445" s="3" t="s">
        <v>112</v>
      </c>
      <c r="J445" s="4"/>
    </row>
    <row r="446" spans="1:10" ht="15.9" customHeight="1" x14ac:dyDescent="0.3">
      <c r="A446" s="1" t="s">
        <v>1319</v>
      </c>
      <c r="B446" s="2" t="s">
        <v>381</v>
      </c>
      <c r="C446" s="2" t="s">
        <v>37</v>
      </c>
      <c r="D446" s="2" t="s">
        <v>1320</v>
      </c>
      <c r="E446" s="2" t="s">
        <v>1321</v>
      </c>
      <c r="F446" s="1" t="s">
        <v>1322</v>
      </c>
      <c r="G446" s="1" t="s">
        <v>79</v>
      </c>
      <c r="H446" s="2" t="s">
        <v>72</v>
      </c>
      <c r="I446" s="1" t="s">
        <v>26</v>
      </c>
      <c r="J446" s="2"/>
    </row>
    <row r="447" spans="1:10" ht="15.9" customHeight="1" x14ac:dyDescent="0.3">
      <c r="A447" s="3" t="s">
        <v>1323</v>
      </c>
      <c r="B447" s="4" t="s">
        <v>298</v>
      </c>
      <c r="C447" s="4" t="s">
        <v>37</v>
      </c>
      <c r="D447" s="4" t="s">
        <v>1324</v>
      </c>
      <c r="E447" s="4" t="s">
        <v>30</v>
      </c>
      <c r="F447" s="3" t="s">
        <v>1009</v>
      </c>
      <c r="G447" s="3" t="s">
        <v>79</v>
      </c>
      <c r="H447" s="4" t="s">
        <v>83</v>
      </c>
      <c r="I447" s="3" t="s">
        <v>50</v>
      </c>
      <c r="J447" s="4" t="s">
        <v>106</v>
      </c>
    </row>
    <row r="448" spans="1:10" ht="15.9" customHeight="1" x14ac:dyDescent="0.3">
      <c r="A448" s="1" t="s">
        <v>1325</v>
      </c>
      <c r="B448" s="2" t="s">
        <v>157</v>
      </c>
      <c r="C448" s="2"/>
      <c r="D448" s="2"/>
      <c r="E448" s="2" t="s">
        <v>1326</v>
      </c>
      <c r="F448" s="1" t="s">
        <v>1215</v>
      </c>
      <c r="G448" s="1" t="s">
        <v>48</v>
      </c>
      <c r="H448" s="2" t="s">
        <v>49</v>
      </c>
      <c r="I448" s="1" t="s">
        <v>18</v>
      </c>
      <c r="J448" s="2" t="s">
        <v>66</v>
      </c>
    </row>
    <row r="449" spans="1:10" ht="15.9" customHeight="1" x14ac:dyDescent="0.3">
      <c r="A449" s="3" t="s">
        <v>1327</v>
      </c>
      <c r="B449" s="4" t="s">
        <v>227</v>
      </c>
      <c r="C449" s="4" t="s">
        <v>62</v>
      </c>
      <c r="D449" s="4" t="s">
        <v>30</v>
      </c>
      <c r="E449" s="4" t="s">
        <v>30</v>
      </c>
      <c r="F449" s="3" t="s">
        <v>1328</v>
      </c>
      <c r="G449" s="3" t="s">
        <v>33</v>
      </c>
      <c r="H449" s="4" t="s">
        <v>25</v>
      </c>
      <c r="I449" s="3" t="s">
        <v>216</v>
      </c>
      <c r="J449" s="4" t="s">
        <v>91</v>
      </c>
    </row>
    <row r="450" spans="1:10" ht="15.9" customHeight="1" x14ac:dyDescent="0.3">
      <c r="A450" s="1" t="s">
        <v>1329</v>
      </c>
      <c r="B450" s="2" t="s">
        <v>290</v>
      </c>
      <c r="C450" s="2" t="s">
        <v>62</v>
      </c>
      <c r="D450" s="2"/>
      <c r="E450" s="2" t="s">
        <v>30</v>
      </c>
      <c r="F450" s="1" t="s">
        <v>267</v>
      </c>
      <c r="G450" s="1" t="s">
        <v>54</v>
      </c>
      <c r="H450" s="2"/>
      <c r="I450" s="1" t="s">
        <v>26</v>
      </c>
      <c r="J450" s="2" t="s">
        <v>91</v>
      </c>
    </row>
    <row r="451" spans="1:10" ht="15.9" customHeight="1" x14ac:dyDescent="0.3">
      <c r="A451" s="3" t="s">
        <v>1330</v>
      </c>
      <c r="B451" s="4" t="s">
        <v>11</v>
      </c>
      <c r="C451" s="4" t="s">
        <v>12</v>
      </c>
      <c r="D451" s="4" t="s">
        <v>1331</v>
      </c>
      <c r="E451" s="4" t="s">
        <v>1332</v>
      </c>
      <c r="F451" s="3" t="s">
        <v>519</v>
      </c>
      <c r="G451" s="3" t="s">
        <v>142</v>
      </c>
      <c r="H451" s="4" t="s">
        <v>72</v>
      </c>
      <c r="I451" s="3" t="s">
        <v>50</v>
      </c>
      <c r="J451" s="4" t="s">
        <v>143</v>
      </c>
    </row>
    <row r="452" spans="1:10" ht="15.9" customHeight="1" x14ac:dyDescent="0.3">
      <c r="A452" s="1" t="s">
        <v>1333</v>
      </c>
      <c r="B452" s="2" t="s">
        <v>647</v>
      </c>
      <c r="C452" s="2" t="s">
        <v>22</v>
      </c>
      <c r="D452" s="2"/>
      <c r="E452" s="2" t="s">
        <v>1334</v>
      </c>
      <c r="F452" s="1" t="s">
        <v>392</v>
      </c>
      <c r="G452" s="1" t="s">
        <v>41</v>
      </c>
      <c r="H452" s="2" t="s">
        <v>125</v>
      </c>
      <c r="I452" s="1" t="s">
        <v>50</v>
      </c>
      <c r="J452" s="2" t="s">
        <v>27</v>
      </c>
    </row>
    <row r="453" spans="1:10" ht="15.9" customHeight="1" x14ac:dyDescent="0.3">
      <c r="A453" s="3" t="s">
        <v>730</v>
      </c>
      <c r="B453" s="4" t="s">
        <v>149</v>
      </c>
      <c r="C453" s="4" t="s">
        <v>119</v>
      </c>
      <c r="D453" s="4" t="s">
        <v>1335</v>
      </c>
      <c r="E453" s="4" t="s">
        <v>1336</v>
      </c>
      <c r="F453" s="3" t="s">
        <v>523</v>
      </c>
      <c r="G453" s="3" t="s">
        <v>16</v>
      </c>
      <c r="H453" s="4" t="s">
        <v>25</v>
      </c>
      <c r="I453" s="3" t="s">
        <v>18</v>
      </c>
      <c r="J453" s="4" t="s">
        <v>19</v>
      </c>
    </row>
    <row r="454" spans="1:10" ht="15.9" customHeight="1" x14ac:dyDescent="0.3">
      <c r="A454" s="1" t="s">
        <v>1337</v>
      </c>
      <c r="B454" s="2" t="s">
        <v>202</v>
      </c>
      <c r="C454" s="2" t="s">
        <v>45</v>
      </c>
      <c r="D454" s="2" t="s">
        <v>1338</v>
      </c>
      <c r="E454" s="2" t="s">
        <v>30</v>
      </c>
      <c r="F454" s="1" t="s">
        <v>1240</v>
      </c>
      <c r="G454" s="1" t="s">
        <v>33</v>
      </c>
      <c r="H454" s="2" t="s">
        <v>25</v>
      </c>
      <c r="I454" s="1" t="s">
        <v>73</v>
      </c>
      <c r="J454" s="2" t="s">
        <v>34</v>
      </c>
    </row>
    <row r="455" spans="1:10" ht="15.9" customHeight="1" x14ac:dyDescent="0.3">
      <c r="A455" s="3" t="s">
        <v>406</v>
      </c>
      <c r="B455" s="4" t="s">
        <v>227</v>
      </c>
      <c r="C455" s="4"/>
      <c r="D455" s="4" t="s">
        <v>1339</v>
      </c>
      <c r="E455" s="4"/>
      <c r="F455" s="3" t="s">
        <v>860</v>
      </c>
      <c r="G455" s="3" t="s">
        <v>142</v>
      </c>
      <c r="H455" s="4" t="s">
        <v>125</v>
      </c>
      <c r="I455" s="3" t="s">
        <v>73</v>
      </c>
      <c r="J455" s="4" t="s">
        <v>106</v>
      </c>
    </row>
    <row r="456" spans="1:10" ht="15.9" customHeight="1" x14ac:dyDescent="0.3">
      <c r="A456" s="1" t="s">
        <v>1340</v>
      </c>
      <c r="B456" s="2" t="s">
        <v>134</v>
      </c>
      <c r="C456" s="2" t="s">
        <v>119</v>
      </c>
      <c r="D456" s="2" t="s">
        <v>30</v>
      </c>
      <c r="E456" s="2" t="s">
        <v>1341</v>
      </c>
      <c r="F456" s="1" t="s">
        <v>24</v>
      </c>
      <c r="G456" s="1" t="s">
        <v>16</v>
      </c>
      <c r="H456" s="2" t="s">
        <v>17</v>
      </c>
      <c r="I456" s="1" t="s">
        <v>50</v>
      </c>
      <c r="J456" s="2" t="s">
        <v>91</v>
      </c>
    </row>
    <row r="457" spans="1:10" ht="15.9" customHeight="1" x14ac:dyDescent="0.3">
      <c r="A457" s="3" t="s">
        <v>1342</v>
      </c>
      <c r="B457" s="4" t="s">
        <v>381</v>
      </c>
      <c r="C457" s="4" t="s">
        <v>12</v>
      </c>
      <c r="D457" s="4" t="s">
        <v>1343</v>
      </c>
      <c r="E457" s="4" t="s">
        <v>1321</v>
      </c>
      <c r="F457" s="3" t="s">
        <v>836</v>
      </c>
      <c r="G457" s="3" t="s">
        <v>54</v>
      </c>
      <c r="H457" s="4" t="s">
        <v>125</v>
      </c>
      <c r="I457" s="3" t="s">
        <v>73</v>
      </c>
      <c r="J457" s="4" t="s">
        <v>91</v>
      </c>
    </row>
    <row r="458" spans="1:10" ht="15.9" customHeight="1" x14ac:dyDescent="0.3">
      <c r="A458" s="1" t="s">
        <v>1344</v>
      </c>
      <c r="B458" s="2" t="s">
        <v>240</v>
      </c>
      <c r="C458" s="2" t="s">
        <v>62</v>
      </c>
      <c r="D458" s="2" t="s">
        <v>1345</v>
      </c>
      <c r="E458" s="2" t="s">
        <v>1346</v>
      </c>
      <c r="F458" s="1" t="s">
        <v>1347</v>
      </c>
      <c r="G458" s="1" t="s">
        <v>142</v>
      </c>
      <c r="H458" s="2" t="s">
        <v>72</v>
      </c>
      <c r="I458" s="1" t="s">
        <v>73</v>
      </c>
      <c r="J458" s="2" t="s">
        <v>19</v>
      </c>
    </row>
    <row r="459" spans="1:10" ht="15.9" customHeight="1" x14ac:dyDescent="0.3">
      <c r="A459" s="3" t="s">
        <v>1348</v>
      </c>
      <c r="B459" s="4" t="s">
        <v>298</v>
      </c>
      <c r="C459" s="4" t="s">
        <v>12</v>
      </c>
      <c r="D459" s="4"/>
      <c r="E459" s="4" t="s">
        <v>30</v>
      </c>
      <c r="F459" s="3" t="s">
        <v>1349</v>
      </c>
      <c r="G459" s="3" t="s">
        <v>48</v>
      </c>
      <c r="H459" s="4" t="s">
        <v>125</v>
      </c>
      <c r="I459" s="3" t="s">
        <v>73</v>
      </c>
      <c r="J459" s="4" t="s">
        <v>91</v>
      </c>
    </row>
    <row r="460" spans="1:10" ht="15.9" customHeight="1" x14ac:dyDescent="0.3">
      <c r="A460" s="1" t="s">
        <v>1350</v>
      </c>
      <c r="B460" s="2" t="s">
        <v>227</v>
      </c>
      <c r="C460" s="2" t="s">
        <v>37</v>
      </c>
      <c r="D460" s="2" t="s">
        <v>1351</v>
      </c>
      <c r="E460" s="2" t="s">
        <v>312</v>
      </c>
      <c r="F460" s="1" t="s">
        <v>1231</v>
      </c>
      <c r="G460" s="1" t="s">
        <v>41</v>
      </c>
      <c r="H460" s="2" t="s">
        <v>125</v>
      </c>
      <c r="I460" s="1" t="s">
        <v>18</v>
      </c>
      <c r="J460" s="2" t="s">
        <v>34</v>
      </c>
    </row>
    <row r="461" spans="1:10" ht="15.9" customHeight="1" x14ac:dyDescent="0.3">
      <c r="A461" s="3" t="s">
        <v>1352</v>
      </c>
      <c r="B461" s="4" t="s">
        <v>275</v>
      </c>
      <c r="C461" s="4" t="s">
        <v>37</v>
      </c>
      <c r="D461" s="4" t="s">
        <v>1353</v>
      </c>
      <c r="E461" s="4" t="s">
        <v>1122</v>
      </c>
      <c r="F461" s="3" t="s">
        <v>1354</v>
      </c>
      <c r="G461" s="3" t="s">
        <v>41</v>
      </c>
      <c r="H461" s="4" t="s">
        <v>125</v>
      </c>
      <c r="I461" s="3" t="s">
        <v>112</v>
      </c>
      <c r="J461" s="4" t="s">
        <v>19</v>
      </c>
    </row>
    <row r="462" spans="1:10" ht="15.9" customHeight="1" x14ac:dyDescent="0.3">
      <c r="A462" s="1" t="s">
        <v>564</v>
      </c>
      <c r="B462" s="2" t="s">
        <v>21</v>
      </c>
      <c r="C462" s="2" t="s">
        <v>22</v>
      </c>
      <c r="D462" s="2" t="s">
        <v>1355</v>
      </c>
      <c r="E462" s="2" t="s">
        <v>30</v>
      </c>
      <c r="F462" s="1" t="s">
        <v>110</v>
      </c>
      <c r="G462" s="1" t="s">
        <v>41</v>
      </c>
      <c r="H462" s="2" t="s">
        <v>42</v>
      </c>
      <c r="I462" s="1" t="s">
        <v>50</v>
      </c>
      <c r="J462" s="2"/>
    </row>
    <row r="463" spans="1:10" ht="15.9" customHeight="1" x14ac:dyDescent="0.3">
      <c r="A463" s="3" t="s">
        <v>1356</v>
      </c>
      <c r="B463" s="4" t="s">
        <v>44</v>
      </c>
      <c r="C463" s="4"/>
      <c r="D463" s="4" t="s">
        <v>1357</v>
      </c>
      <c r="E463" s="4" t="s">
        <v>30</v>
      </c>
      <c r="F463" s="3" t="s">
        <v>509</v>
      </c>
      <c r="G463" s="3" t="s">
        <v>79</v>
      </c>
      <c r="H463" s="4" t="s">
        <v>42</v>
      </c>
      <c r="I463" s="3" t="s">
        <v>26</v>
      </c>
      <c r="J463" s="4"/>
    </row>
    <row r="464" spans="1:10" ht="15.9" customHeight="1" x14ac:dyDescent="0.3">
      <c r="A464" s="1" t="s">
        <v>1358</v>
      </c>
      <c r="B464" s="2" t="s">
        <v>108</v>
      </c>
      <c r="C464" s="2"/>
      <c r="D464" s="2" t="s">
        <v>30</v>
      </c>
      <c r="E464" s="2" t="s">
        <v>1359</v>
      </c>
      <c r="F464" s="1" t="s">
        <v>1061</v>
      </c>
      <c r="G464" s="1" t="s">
        <v>79</v>
      </c>
      <c r="H464" s="2" t="s">
        <v>125</v>
      </c>
      <c r="I464" s="1" t="s">
        <v>216</v>
      </c>
      <c r="J464" s="2" t="s">
        <v>91</v>
      </c>
    </row>
    <row r="465" spans="1:10" ht="15.9" customHeight="1" x14ac:dyDescent="0.3">
      <c r="A465" s="3" t="s">
        <v>1360</v>
      </c>
      <c r="B465" s="4" t="s">
        <v>275</v>
      </c>
      <c r="C465" s="4" t="s">
        <v>62</v>
      </c>
      <c r="D465" s="4" t="s">
        <v>1361</v>
      </c>
      <c r="E465" s="4"/>
      <c r="F465" s="3" t="s">
        <v>1362</v>
      </c>
      <c r="G465" s="3" t="s">
        <v>54</v>
      </c>
      <c r="H465" s="4" t="s">
        <v>49</v>
      </c>
      <c r="I465" s="3"/>
      <c r="J465" s="4" t="s">
        <v>27</v>
      </c>
    </row>
    <row r="466" spans="1:10" ht="15.9" customHeight="1" x14ac:dyDescent="0.3">
      <c r="A466" s="1" t="s">
        <v>1363</v>
      </c>
      <c r="B466" s="2" t="s">
        <v>165</v>
      </c>
      <c r="C466" s="2"/>
      <c r="D466" s="2" t="s">
        <v>30</v>
      </c>
      <c r="E466" s="2"/>
      <c r="F466" s="1" t="s">
        <v>24</v>
      </c>
      <c r="G466" s="1" t="s">
        <v>111</v>
      </c>
      <c r="H466" s="2" t="s">
        <v>25</v>
      </c>
      <c r="I466" s="1" t="s">
        <v>26</v>
      </c>
      <c r="J466" s="2" t="s">
        <v>27</v>
      </c>
    </row>
    <row r="467" spans="1:10" ht="15.9" customHeight="1" x14ac:dyDescent="0.3">
      <c r="A467" s="3" t="s">
        <v>1364</v>
      </c>
      <c r="B467" s="4" t="s">
        <v>102</v>
      </c>
      <c r="C467" s="4" t="s">
        <v>12</v>
      </c>
      <c r="D467" s="4" t="s">
        <v>30</v>
      </c>
      <c r="E467" s="4"/>
      <c r="F467" s="3" t="s">
        <v>922</v>
      </c>
      <c r="G467" s="3" t="s">
        <v>142</v>
      </c>
      <c r="H467" s="4"/>
      <c r="I467" s="3" t="s">
        <v>73</v>
      </c>
      <c r="J467" s="4" t="s">
        <v>66</v>
      </c>
    </row>
    <row r="468" spans="1:10" ht="15.9" customHeight="1" x14ac:dyDescent="0.3">
      <c r="A468" s="1" t="s">
        <v>1365</v>
      </c>
      <c r="B468" s="2" t="s">
        <v>29</v>
      </c>
      <c r="C468" s="2" t="s">
        <v>12</v>
      </c>
      <c r="D468" s="2" t="s">
        <v>1366</v>
      </c>
      <c r="E468" s="2" t="s">
        <v>1367</v>
      </c>
      <c r="F468" s="1" t="s">
        <v>776</v>
      </c>
      <c r="G468" s="1" t="s">
        <v>111</v>
      </c>
      <c r="H468" s="2" t="s">
        <v>17</v>
      </c>
      <c r="I468" s="1" t="s">
        <v>50</v>
      </c>
      <c r="J468" s="2" t="s">
        <v>143</v>
      </c>
    </row>
    <row r="469" spans="1:10" ht="15.9" customHeight="1" x14ac:dyDescent="0.3">
      <c r="A469" s="3" t="s">
        <v>1368</v>
      </c>
      <c r="B469" s="4" t="s">
        <v>463</v>
      </c>
      <c r="C469" s="4" t="s">
        <v>37</v>
      </c>
      <c r="D469" s="4"/>
      <c r="E469" s="4" t="s">
        <v>1369</v>
      </c>
      <c r="F469" s="3" t="s">
        <v>1328</v>
      </c>
      <c r="G469" s="3" t="s">
        <v>16</v>
      </c>
      <c r="H469" s="4"/>
      <c r="I469" s="3"/>
      <c r="J469" s="4" t="s">
        <v>143</v>
      </c>
    </row>
    <row r="470" spans="1:10" ht="15.9" customHeight="1" x14ac:dyDescent="0.3">
      <c r="A470" s="1" t="s">
        <v>1370</v>
      </c>
      <c r="B470" s="2" t="s">
        <v>597</v>
      </c>
      <c r="C470" s="2" t="s">
        <v>119</v>
      </c>
      <c r="D470" s="2" t="s">
        <v>1371</v>
      </c>
      <c r="E470" s="2"/>
      <c r="F470" s="1" t="s">
        <v>863</v>
      </c>
      <c r="G470" s="1" t="s">
        <v>41</v>
      </c>
      <c r="H470" s="2" t="s">
        <v>49</v>
      </c>
      <c r="I470" s="1" t="s">
        <v>26</v>
      </c>
      <c r="J470" s="2" t="s">
        <v>51</v>
      </c>
    </row>
    <row r="471" spans="1:10" ht="15.9" customHeight="1" x14ac:dyDescent="0.3">
      <c r="A471" s="3" t="s">
        <v>1372</v>
      </c>
      <c r="B471" s="4" t="s">
        <v>114</v>
      </c>
      <c r="C471" s="4" t="s">
        <v>62</v>
      </c>
      <c r="D471" s="4"/>
      <c r="E471" s="4" t="s">
        <v>1373</v>
      </c>
      <c r="F471" s="3" t="s">
        <v>1374</v>
      </c>
      <c r="G471" s="3" t="s">
        <v>16</v>
      </c>
      <c r="H471" s="4" t="s">
        <v>125</v>
      </c>
      <c r="I471" s="3" t="s">
        <v>18</v>
      </c>
      <c r="J471" s="4" t="s">
        <v>51</v>
      </c>
    </row>
    <row r="472" spans="1:10" ht="15.9" customHeight="1" x14ac:dyDescent="0.3">
      <c r="A472" s="1" t="s">
        <v>1375</v>
      </c>
      <c r="B472" s="2" t="s">
        <v>149</v>
      </c>
      <c r="C472" s="2" t="s">
        <v>37</v>
      </c>
      <c r="D472" s="2" t="s">
        <v>1376</v>
      </c>
      <c r="E472" s="2" t="s">
        <v>1377</v>
      </c>
      <c r="F472" s="1" t="s">
        <v>1132</v>
      </c>
      <c r="G472" s="1" t="s">
        <v>142</v>
      </c>
      <c r="H472" s="2" t="s">
        <v>65</v>
      </c>
      <c r="I472" s="1" t="s">
        <v>216</v>
      </c>
      <c r="J472" s="2" t="s">
        <v>106</v>
      </c>
    </row>
    <row r="473" spans="1:10" ht="15.9" customHeight="1" x14ac:dyDescent="0.3">
      <c r="A473" s="3" t="s">
        <v>1378</v>
      </c>
      <c r="B473" s="4" t="s">
        <v>184</v>
      </c>
      <c r="C473" s="4" t="s">
        <v>37</v>
      </c>
      <c r="D473" s="4" t="s">
        <v>1379</v>
      </c>
      <c r="E473" s="4"/>
      <c r="F473" s="3" t="s">
        <v>1380</v>
      </c>
      <c r="G473" s="3" t="s">
        <v>16</v>
      </c>
      <c r="H473" s="4" t="s">
        <v>25</v>
      </c>
      <c r="I473" s="3"/>
      <c r="J473" s="4" t="s">
        <v>27</v>
      </c>
    </row>
    <row r="474" spans="1:10" ht="15.9" customHeight="1" x14ac:dyDescent="0.3">
      <c r="A474" s="1" t="s">
        <v>1381</v>
      </c>
      <c r="B474" s="2" t="s">
        <v>56</v>
      </c>
      <c r="C474" s="2" t="s">
        <v>45</v>
      </c>
      <c r="D474" s="2" t="s">
        <v>1382</v>
      </c>
      <c r="E474" s="2"/>
      <c r="F474" s="1" t="s">
        <v>200</v>
      </c>
      <c r="G474" s="1" t="s">
        <v>79</v>
      </c>
      <c r="H474" s="2" t="s">
        <v>65</v>
      </c>
      <c r="I474" s="1"/>
      <c r="J474" s="2" t="s">
        <v>66</v>
      </c>
    </row>
    <row r="475" spans="1:10" ht="15.9" customHeight="1" x14ac:dyDescent="0.3">
      <c r="A475" s="3" t="s">
        <v>1383</v>
      </c>
      <c r="B475" s="4" t="s">
        <v>157</v>
      </c>
      <c r="C475" s="4" t="s">
        <v>45</v>
      </c>
      <c r="D475" s="4" t="s">
        <v>1384</v>
      </c>
      <c r="E475" s="4" t="s">
        <v>1385</v>
      </c>
      <c r="F475" s="3" t="s">
        <v>1386</v>
      </c>
      <c r="G475" s="3" t="s">
        <v>79</v>
      </c>
      <c r="H475" s="4" t="s">
        <v>49</v>
      </c>
      <c r="I475" s="3"/>
      <c r="J475" s="4" t="s">
        <v>19</v>
      </c>
    </row>
    <row r="476" spans="1:10" ht="15.9" customHeight="1" x14ac:dyDescent="0.3">
      <c r="A476" s="1" t="s">
        <v>1387</v>
      </c>
      <c r="B476" s="2" t="s">
        <v>206</v>
      </c>
      <c r="C476" s="2" t="s">
        <v>37</v>
      </c>
      <c r="D476" s="2" t="s">
        <v>1388</v>
      </c>
      <c r="E476" s="2" t="s">
        <v>1389</v>
      </c>
      <c r="F476" s="1" t="s">
        <v>1390</v>
      </c>
      <c r="G476" s="1" t="s">
        <v>79</v>
      </c>
      <c r="H476" s="2" t="s">
        <v>65</v>
      </c>
      <c r="I476" s="1" t="s">
        <v>216</v>
      </c>
      <c r="J476" s="2" t="s">
        <v>66</v>
      </c>
    </row>
    <row r="477" spans="1:10" ht="15.9" customHeight="1" x14ac:dyDescent="0.3">
      <c r="A477" s="3" t="s">
        <v>1391</v>
      </c>
      <c r="B477" s="4" t="s">
        <v>102</v>
      </c>
      <c r="C477" s="4"/>
      <c r="D477" s="4" t="s">
        <v>1392</v>
      </c>
      <c r="E477" s="4" t="s">
        <v>1049</v>
      </c>
      <c r="F477" s="3" t="s">
        <v>599</v>
      </c>
      <c r="G477" s="3" t="s">
        <v>48</v>
      </c>
      <c r="H477" s="4" t="s">
        <v>42</v>
      </c>
      <c r="I477" s="3" t="s">
        <v>50</v>
      </c>
      <c r="J477" s="4" t="s">
        <v>106</v>
      </c>
    </row>
    <row r="478" spans="1:10" ht="15.9" customHeight="1" x14ac:dyDescent="0.3">
      <c r="A478" s="1" t="s">
        <v>1393</v>
      </c>
      <c r="B478" s="2" t="s">
        <v>202</v>
      </c>
      <c r="C478" s="2" t="s">
        <v>45</v>
      </c>
      <c r="D478" s="2" t="s">
        <v>1394</v>
      </c>
      <c r="E478" s="2" t="s">
        <v>1395</v>
      </c>
      <c r="F478" s="1" t="s">
        <v>1396</v>
      </c>
      <c r="G478" s="1" t="s">
        <v>79</v>
      </c>
      <c r="H478" s="2" t="s">
        <v>42</v>
      </c>
      <c r="I478" s="1" t="s">
        <v>112</v>
      </c>
      <c r="J478" s="2" t="s">
        <v>91</v>
      </c>
    </row>
    <row r="479" spans="1:10" ht="15.9" customHeight="1" x14ac:dyDescent="0.3">
      <c r="A479" s="3" t="s">
        <v>1397</v>
      </c>
      <c r="B479" s="4" t="s">
        <v>227</v>
      </c>
      <c r="C479" s="4" t="s">
        <v>22</v>
      </c>
      <c r="D479" s="4"/>
      <c r="E479" s="4" t="s">
        <v>1398</v>
      </c>
      <c r="F479" s="3" t="s">
        <v>903</v>
      </c>
      <c r="G479" s="3" t="s">
        <v>79</v>
      </c>
      <c r="H479" s="4" t="s">
        <v>42</v>
      </c>
      <c r="I479" s="3" t="s">
        <v>73</v>
      </c>
      <c r="J479" s="4" t="s">
        <v>106</v>
      </c>
    </row>
    <row r="480" spans="1:10" ht="15.9" customHeight="1" x14ac:dyDescent="0.3">
      <c r="A480" s="1" t="s">
        <v>1399</v>
      </c>
      <c r="B480" s="2" t="s">
        <v>153</v>
      </c>
      <c r="C480" s="2" t="s">
        <v>119</v>
      </c>
      <c r="D480" s="2"/>
      <c r="E480" s="2"/>
      <c r="F480" s="1" t="s">
        <v>325</v>
      </c>
      <c r="G480" s="1" t="s">
        <v>41</v>
      </c>
      <c r="H480" s="2" t="s">
        <v>17</v>
      </c>
      <c r="I480" s="1"/>
      <c r="J480" s="2" t="s">
        <v>34</v>
      </c>
    </row>
    <row r="481" spans="1:10" ht="15.9" customHeight="1" x14ac:dyDescent="0.3">
      <c r="A481" s="3" t="s">
        <v>1400</v>
      </c>
      <c r="B481" s="4" t="s">
        <v>597</v>
      </c>
      <c r="C481" s="4"/>
      <c r="D481" s="4" t="s">
        <v>1401</v>
      </c>
      <c r="E481" s="4" t="s">
        <v>1402</v>
      </c>
      <c r="F481" s="3" t="s">
        <v>543</v>
      </c>
      <c r="G481" s="3" t="s">
        <v>142</v>
      </c>
      <c r="H481" s="4" t="s">
        <v>25</v>
      </c>
      <c r="I481" s="3" t="s">
        <v>26</v>
      </c>
      <c r="J481" s="4" t="s">
        <v>66</v>
      </c>
    </row>
    <row r="482" spans="1:10" ht="15.9" customHeight="1" x14ac:dyDescent="0.3">
      <c r="A482" s="1" t="s">
        <v>1403</v>
      </c>
      <c r="B482" s="2" t="s">
        <v>463</v>
      </c>
      <c r="C482" s="2"/>
      <c r="D482" s="2" t="s">
        <v>1404</v>
      </c>
      <c r="E482" s="2" t="s">
        <v>465</v>
      </c>
      <c r="F482" s="1" t="s">
        <v>1152</v>
      </c>
      <c r="G482" s="1" t="s">
        <v>16</v>
      </c>
      <c r="H482" s="2" t="s">
        <v>17</v>
      </c>
      <c r="I482" s="1"/>
      <c r="J482" s="2" t="s">
        <v>34</v>
      </c>
    </row>
    <row r="483" spans="1:10" ht="15.9" customHeight="1" x14ac:dyDescent="0.3">
      <c r="A483" s="3" t="s">
        <v>1405</v>
      </c>
      <c r="B483" s="4" t="s">
        <v>303</v>
      </c>
      <c r="C483" s="4" t="s">
        <v>119</v>
      </c>
      <c r="D483" s="4" t="s">
        <v>1406</v>
      </c>
      <c r="E483" s="4" t="s">
        <v>248</v>
      </c>
      <c r="F483" s="3" t="s">
        <v>1132</v>
      </c>
      <c r="G483" s="3" t="s">
        <v>111</v>
      </c>
      <c r="H483" s="4" t="s">
        <v>72</v>
      </c>
      <c r="I483" s="3" t="s">
        <v>73</v>
      </c>
      <c r="J483" s="4" t="s">
        <v>91</v>
      </c>
    </row>
    <row r="484" spans="1:10" ht="15.9" customHeight="1" x14ac:dyDescent="0.3">
      <c r="A484" s="1" t="s">
        <v>1407</v>
      </c>
      <c r="B484" s="2" t="s">
        <v>275</v>
      </c>
      <c r="C484" s="2" t="s">
        <v>22</v>
      </c>
      <c r="D484" s="2" t="s">
        <v>1408</v>
      </c>
      <c r="E484" s="2" t="s">
        <v>1409</v>
      </c>
      <c r="F484" s="1" t="s">
        <v>1410</v>
      </c>
      <c r="G484" s="1" t="s">
        <v>79</v>
      </c>
      <c r="H484" s="2" t="s">
        <v>17</v>
      </c>
      <c r="I484" s="1" t="s">
        <v>216</v>
      </c>
      <c r="J484" s="2" t="s">
        <v>66</v>
      </c>
    </row>
    <row r="485" spans="1:10" ht="15.9" customHeight="1" x14ac:dyDescent="0.3">
      <c r="A485" s="3" t="s">
        <v>1411</v>
      </c>
      <c r="B485" s="4" t="s">
        <v>342</v>
      </c>
      <c r="C485" s="4"/>
      <c r="D485" s="4" t="s">
        <v>30</v>
      </c>
      <c r="E485" s="4" t="s">
        <v>344</v>
      </c>
      <c r="F485" s="3" t="s">
        <v>883</v>
      </c>
      <c r="G485" s="3" t="s">
        <v>111</v>
      </c>
      <c r="H485" s="4"/>
      <c r="I485" s="3" t="s">
        <v>216</v>
      </c>
      <c r="J485" s="4" t="s">
        <v>51</v>
      </c>
    </row>
    <row r="486" spans="1:10" ht="15.9" customHeight="1" x14ac:dyDescent="0.3">
      <c r="A486" s="1" t="s">
        <v>1412</v>
      </c>
      <c r="B486" s="2" t="s">
        <v>68</v>
      </c>
      <c r="C486" s="2" t="s">
        <v>12</v>
      </c>
      <c r="D486" s="2" t="s">
        <v>1413</v>
      </c>
      <c r="E486" s="2" t="s">
        <v>30</v>
      </c>
      <c r="F486" s="1" t="s">
        <v>225</v>
      </c>
      <c r="G486" s="1" t="s">
        <v>41</v>
      </c>
      <c r="H486" s="2" t="s">
        <v>42</v>
      </c>
      <c r="I486" s="1"/>
      <c r="J486" s="2" t="s">
        <v>66</v>
      </c>
    </row>
    <row r="487" spans="1:10" ht="15.9" customHeight="1" x14ac:dyDescent="0.3">
      <c r="A487" s="3" t="s">
        <v>1086</v>
      </c>
      <c r="B487" s="4" t="s">
        <v>303</v>
      </c>
      <c r="C487" s="4" t="s">
        <v>62</v>
      </c>
      <c r="D487" s="4" t="s">
        <v>30</v>
      </c>
      <c r="E487" s="4" t="s">
        <v>1414</v>
      </c>
      <c r="F487" s="3" t="s">
        <v>1201</v>
      </c>
      <c r="G487" s="3" t="s">
        <v>41</v>
      </c>
      <c r="H487" s="4" t="s">
        <v>72</v>
      </c>
      <c r="I487" s="3" t="s">
        <v>26</v>
      </c>
      <c r="J487" s="4" t="s">
        <v>51</v>
      </c>
    </row>
    <row r="488" spans="1:10" ht="15.9" customHeight="1" x14ac:dyDescent="0.3">
      <c r="A488" s="1" t="s">
        <v>1415</v>
      </c>
      <c r="B488" s="2" t="s">
        <v>342</v>
      </c>
      <c r="C488" s="2" t="s">
        <v>12</v>
      </c>
      <c r="D488" s="2" t="s">
        <v>1416</v>
      </c>
      <c r="E488" s="2" t="s">
        <v>1417</v>
      </c>
      <c r="F488" s="1" t="s">
        <v>802</v>
      </c>
      <c r="G488" s="1" t="s">
        <v>111</v>
      </c>
      <c r="H488" s="2" t="s">
        <v>25</v>
      </c>
      <c r="I488" s="1"/>
      <c r="J488" s="2"/>
    </row>
    <row r="489" spans="1:10" ht="15.9" customHeight="1" x14ac:dyDescent="0.3">
      <c r="A489" s="3" t="s">
        <v>1418</v>
      </c>
      <c r="B489" s="4" t="s">
        <v>184</v>
      </c>
      <c r="C489" s="4" t="s">
        <v>12</v>
      </c>
      <c r="D489" s="4"/>
      <c r="E489" s="4"/>
      <c r="F489" s="3" t="s">
        <v>1419</v>
      </c>
      <c r="G489" s="3" t="s">
        <v>79</v>
      </c>
      <c r="H489" s="4" t="s">
        <v>42</v>
      </c>
      <c r="I489" s="3" t="s">
        <v>73</v>
      </c>
      <c r="J489" s="4" t="s">
        <v>27</v>
      </c>
    </row>
    <row r="490" spans="1:10" ht="15.9" customHeight="1" x14ac:dyDescent="0.3">
      <c r="A490" s="1" t="s">
        <v>1420</v>
      </c>
      <c r="B490" s="2" t="s">
        <v>29</v>
      </c>
      <c r="C490" s="2" t="s">
        <v>37</v>
      </c>
      <c r="D490" s="2" t="s">
        <v>1421</v>
      </c>
      <c r="E490" s="2" t="s">
        <v>1422</v>
      </c>
      <c r="F490" s="1" t="s">
        <v>1423</v>
      </c>
      <c r="G490" s="1" t="s">
        <v>41</v>
      </c>
      <c r="H490" s="2" t="s">
        <v>17</v>
      </c>
      <c r="I490" s="1" t="s">
        <v>216</v>
      </c>
      <c r="J490" s="2" t="s">
        <v>106</v>
      </c>
    </row>
    <row r="491" spans="1:10" ht="15.9" customHeight="1" x14ac:dyDescent="0.3">
      <c r="A491" s="3" t="s">
        <v>1424</v>
      </c>
      <c r="B491" s="4" t="s">
        <v>193</v>
      </c>
      <c r="C491" s="4" t="s">
        <v>12</v>
      </c>
      <c r="D491" s="4" t="s">
        <v>1425</v>
      </c>
      <c r="E491" s="4"/>
      <c r="F491" s="3" t="s">
        <v>1426</v>
      </c>
      <c r="G491" s="3" t="s">
        <v>33</v>
      </c>
      <c r="H491" s="4" t="s">
        <v>83</v>
      </c>
      <c r="I491" s="3" t="s">
        <v>26</v>
      </c>
      <c r="J491" s="4" t="s">
        <v>27</v>
      </c>
    </row>
    <row r="492" spans="1:10" ht="15.9" customHeight="1" x14ac:dyDescent="0.3">
      <c r="A492" s="1" t="s">
        <v>1427</v>
      </c>
      <c r="B492" s="2" t="s">
        <v>227</v>
      </c>
      <c r="C492" s="2" t="s">
        <v>119</v>
      </c>
      <c r="D492" s="2" t="s">
        <v>1428</v>
      </c>
      <c r="E492" s="2"/>
      <c r="F492" s="1" t="s">
        <v>24</v>
      </c>
      <c r="G492" s="1" t="s">
        <v>54</v>
      </c>
      <c r="H492" s="2" t="s">
        <v>72</v>
      </c>
      <c r="I492" s="1" t="s">
        <v>216</v>
      </c>
      <c r="J492" s="2" t="s">
        <v>51</v>
      </c>
    </row>
    <row r="493" spans="1:10" ht="15.9" customHeight="1" x14ac:dyDescent="0.3">
      <c r="A493" s="3" t="s">
        <v>1429</v>
      </c>
      <c r="B493" s="4" t="s">
        <v>75</v>
      </c>
      <c r="C493" s="4" t="s">
        <v>37</v>
      </c>
      <c r="D493" s="4" t="s">
        <v>1430</v>
      </c>
      <c r="E493" s="4"/>
      <c r="F493" s="3" t="s">
        <v>725</v>
      </c>
      <c r="G493" s="3" t="s">
        <v>79</v>
      </c>
      <c r="H493" s="4" t="s">
        <v>49</v>
      </c>
      <c r="I493" s="3" t="s">
        <v>216</v>
      </c>
      <c r="J493" s="4" t="s">
        <v>27</v>
      </c>
    </row>
    <row r="494" spans="1:10" ht="15.9" customHeight="1" x14ac:dyDescent="0.3">
      <c r="A494" s="1" t="s">
        <v>530</v>
      </c>
      <c r="B494" s="2" t="s">
        <v>597</v>
      </c>
      <c r="C494" s="2"/>
      <c r="D494" s="2" t="s">
        <v>1431</v>
      </c>
      <c r="E494" s="2" t="s">
        <v>1432</v>
      </c>
      <c r="F494" s="1" t="s">
        <v>1433</v>
      </c>
      <c r="G494" s="1" t="s">
        <v>33</v>
      </c>
      <c r="H494" s="2" t="s">
        <v>125</v>
      </c>
      <c r="I494" s="1" t="s">
        <v>73</v>
      </c>
      <c r="J494" s="2" t="s">
        <v>106</v>
      </c>
    </row>
    <row r="495" spans="1:10" ht="15.9" customHeight="1" x14ac:dyDescent="0.3">
      <c r="A495" s="3" t="s">
        <v>1434</v>
      </c>
      <c r="B495" s="4" t="s">
        <v>157</v>
      </c>
      <c r="C495" s="4" t="s">
        <v>22</v>
      </c>
      <c r="D495" s="4" t="s">
        <v>1435</v>
      </c>
      <c r="E495" s="4" t="s">
        <v>1436</v>
      </c>
      <c r="F495" s="3" t="s">
        <v>281</v>
      </c>
      <c r="G495" s="3" t="s">
        <v>79</v>
      </c>
      <c r="H495" s="4" t="s">
        <v>49</v>
      </c>
      <c r="I495" s="3" t="s">
        <v>26</v>
      </c>
      <c r="J495" s="4" t="s">
        <v>143</v>
      </c>
    </row>
    <row r="496" spans="1:10" ht="15.9" customHeight="1" x14ac:dyDescent="0.3">
      <c r="A496" s="1" t="s">
        <v>1437</v>
      </c>
      <c r="B496" s="2" t="s">
        <v>11</v>
      </c>
      <c r="C496" s="2" t="s">
        <v>12</v>
      </c>
      <c r="D496" s="2" t="s">
        <v>30</v>
      </c>
      <c r="E496" s="2" t="s">
        <v>1438</v>
      </c>
      <c r="F496" s="1" t="s">
        <v>1132</v>
      </c>
      <c r="G496" s="1" t="s">
        <v>54</v>
      </c>
      <c r="H496" s="2" t="s">
        <v>49</v>
      </c>
      <c r="I496" s="1" t="s">
        <v>50</v>
      </c>
      <c r="J496" s="2" t="s">
        <v>34</v>
      </c>
    </row>
    <row r="497" spans="1:10" ht="15.9" customHeight="1" x14ac:dyDescent="0.3">
      <c r="A497" s="3" t="s">
        <v>1439</v>
      </c>
      <c r="B497" s="4" t="s">
        <v>149</v>
      </c>
      <c r="C497" s="4" t="s">
        <v>12</v>
      </c>
      <c r="D497" s="4" t="s">
        <v>1440</v>
      </c>
      <c r="E497" s="4" t="s">
        <v>46</v>
      </c>
      <c r="F497" s="3" t="s">
        <v>513</v>
      </c>
      <c r="G497" s="3" t="s">
        <v>142</v>
      </c>
      <c r="H497" s="4" t="s">
        <v>17</v>
      </c>
      <c r="I497" s="3" t="s">
        <v>26</v>
      </c>
      <c r="J497" s="4"/>
    </row>
    <row r="498" spans="1:10" ht="15.9" customHeight="1" x14ac:dyDescent="0.3">
      <c r="A498" s="1" t="s">
        <v>1441</v>
      </c>
      <c r="B498" s="2" t="s">
        <v>98</v>
      </c>
      <c r="C498" s="2" t="s">
        <v>12</v>
      </c>
      <c r="D498" s="2" t="s">
        <v>1442</v>
      </c>
      <c r="E498" s="2" t="s">
        <v>1443</v>
      </c>
      <c r="F498" s="1" t="s">
        <v>1280</v>
      </c>
      <c r="G498" s="1" t="s">
        <v>48</v>
      </c>
      <c r="H498" s="2" t="s">
        <v>42</v>
      </c>
      <c r="I498" s="1" t="s">
        <v>50</v>
      </c>
      <c r="J498" s="2" t="s">
        <v>91</v>
      </c>
    </row>
    <row r="499" spans="1:10" ht="15.9" customHeight="1" x14ac:dyDescent="0.3">
      <c r="A499" s="3" t="s">
        <v>1444</v>
      </c>
      <c r="B499" s="4" t="s">
        <v>44</v>
      </c>
      <c r="C499" s="4" t="s">
        <v>37</v>
      </c>
      <c r="D499" s="4" t="s">
        <v>1445</v>
      </c>
      <c r="E499" s="4" t="s">
        <v>1446</v>
      </c>
      <c r="F499" s="3" t="s">
        <v>243</v>
      </c>
      <c r="G499" s="3" t="s">
        <v>111</v>
      </c>
      <c r="H499" s="4" t="s">
        <v>49</v>
      </c>
      <c r="I499" s="3" t="s">
        <v>112</v>
      </c>
      <c r="J499" s="4" t="s">
        <v>66</v>
      </c>
    </row>
    <row r="500" spans="1:10" ht="15.9" customHeight="1" x14ac:dyDescent="0.3">
      <c r="A500" s="1" t="s">
        <v>1447</v>
      </c>
      <c r="B500" s="2" t="s">
        <v>206</v>
      </c>
      <c r="C500" s="2" t="s">
        <v>12</v>
      </c>
      <c r="D500" s="2" t="s">
        <v>30</v>
      </c>
      <c r="E500" s="2" t="s">
        <v>1448</v>
      </c>
      <c r="F500" s="1" t="s">
        <v>809</v>
      </c>
      <c r="G500" s="1" t="s">
        <v>41</v>
      </c>
      <c r="H500" s="2" t="s">
        <v>25</v>
      </c>
      <c r="I500" s="1" t="s">
        <v>216</v>
      </c>
      <c r="J500" s="2" t="s">
        <v>19</v>
      </c>
    </row>
    <row r="501" spans="1:10" x14ac:dyDescent="0.3">
      <c r="A501" s="3" t="s">
        <v>1449</v>
      </c>
      <c r="B501" s="4" t="s">
        <v>193</v>
      </c>
      <c r="C501" s="4"/>
      <c r="D501" s="4" t="s">
        <v>1450</v>
      </c>
      <c r="E501" s="4" t="s">
        <v>1451</v>
      </c>
      <c r="F501" s="3" t="s">
        <v>1452</v>
      </c>
      <c r="G501" s="3" t="s">
        <v>142</v>
      </c>
      <c r="H501" s="4" t="s">
        <v>125</v>
      </c>
      <c r="I501" s="3"/>
      <c r="J501" s="4" t="s">
        <v>34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8AA7E-9C4F-4DD1-95C8-1CA6AF9D44C4}">
  <sheetPr codeName="Sheet3"/>
  <dimension ref="A1:J501"/>
  <sheetViews>
    <sheetView showGridLines="0" tabSelected="1" topLeftCell="A353" zoomScaleNormal="100" workbookViewId="0">
      <selection activeCell="L361" sqref="L361"/>
    </sheetView>
  </sheetViews>
  <sheetFormatPr defaultColWidth="8.6640625" defaultRowHeight="14.4" x14ac:dyDescent="0.3"/>
  <cols>
    <col min="1" max="1" width="10.21875" style="6" customWidth="1"/>
    <col min="2" max="2" width="14.88671875" style="6" customWidth="1"/>
    <col min="3" max="3" width="15.109375" style="6" customWidth="1"/>
    <col min="4" max="4" width="17.44140625" style="6" customWidth="1"/>
    <col min="5" max="5" width="28" style="6" customWidth="1"/>
    <col min="6" max="6" width="13" style="99" customWidth="1"/>
    <col min="7" max="7" width="15" style="6" customWidth="1"/>
    <col min="8" max="8" width="12" style="6" customWidth="1"/>
    <col min="9" max="9" width="18.109375" style="6" customWidth="1"/>
    <col min="10" max="10" width="22" style="6" customWidth="1"/>
    <col min="11" max="16384" width="8.6640625" style="6"/>
  </cols>
  <sheetData>
    <row r="1" spans="1:10" ht="24.75" customHeight="1" x14ac:dyDescent="0.3">
      <c r="A1" s="82" t="s">
        <v>0</v>
      </c>
      <c r="B1" s="83" t="s">
        <v>1</v>
      </c>
      <c r="C1" s="83" t="s">
        <v>2</v>
      </c>
      <c r="D1" s="83" t="s">
        <v>3</v>
      </c>
      <c r="E1" s="83" t="s">
        <v>4</v>
      </c>
      <c r="F1" s="92" t="s">
        <v>5</v>
      </c>
      <c r="G1" s="83" t="s">
        <v>6</v>
      </c>
      <c r="H1" s="83" t="s">
        <v>7</v>
      </c>
      <c r="I1" s="83" t="s">
        <v>8</v>
      </c>
      <c r="J1" s="84" t="s">
        <v>9</v>
      </c>
    </row>
    <row r="2" spans="1:10" ht="15.75" customHeight="1" x14ac:dyDescent="0.3">
      <c r="A2" s="72" t="s">
        <v>10</v>
      </c>
      <c r="B2" s="53" t="s">
        <v>11</v>
      </c>
      <c r="C2" s="53" t="s">
        <v>12</v>
      </c>
      <c r="D2" s="54">
        <v>9804436995</v>
      </c>
      <c r="E2" s="53" t="s">
        <v>14</v>
      </c>
      <c r="F2" s="93" t="s">
        <v>1528</v>
      </c>
      <c r="G2" s="54" t="s">
        <v>16</v>
      </c>
      <c r="H2" s="54" t="s">
        <v>17</v>
      </c>
      <c r="I2" s="54" t="s">
        <v>18</v>
      </c>
      <c r="J2" s="77" t="s">
        <v>19</v>
      </c>
    </row>
    <row r="3" spans="1:10" ht="15.75" customHeight="1" x14ac:dyDescent="0.3">
      <c r="A3" s="72" t="s">
        <v>20</v>
      </c>
      <c r="B3" s="53" t="s">
        <v>227</v>
      </c>
      <c r="C3" s="53" t="s">
        <v>22</v>
      </c>
      <c r="D3" s="54"/>
      <c r="E3" s="53" t="s">
        <v>23</v>
      </c>
      <c r="F3" s="93" t="s">
        <v>1516</v>
      </c>
      <c r="G3" s="54" t="s">
        <v>16</v>
      </c>
      <c r="H3" s="54" t="s">
        <v>25</v>
      </c>
      <c r="I3" s="54" t="s">
        <v>26</v>
      </c>
      <c r="J3" s="77" t="s">
        <v>27</v>
      </c>
    </row>
    <row r="4" spans="1:10" ht="15.75" customHeight="1" x14ac:dyDescent="0.3">
      <c r="A4" s="72" t="s">
        <v>28</v>
      </c>
      <c r="B4" s="53" t="s">
        <v>29</v>
      </c>
      <c r="C4" s="55" t="s">
        <v>37</v>
      </c>
      <c r="D4" s="54"/>
      <c r="E4" s="53" t="s">
        <v>31</v>
      </c>
      <c r="F4" s="93" t="s">
        <v>1612</v>
      </c>
      <c r="G4" s="54" t="s">
        <v>16</v>
      </c>
      <c r="H4" s="54" t="s">
        <v>25</v>
      </c>
      <c r="I4" s="54"/>
      <c r="J4" s="77" t="s">
        <v>34</v>
      </c>
    </row>
    <row r="5" spans="1:10" ht="15.75" customHeight="1" x14ac:dyDescent="0.3">
      <c r="A5" s="73" t="s">
        <v>35</v>
      </c>
      <c r="B5" s="55" t="s">
        <v>36</v>
      </c>
      <c r="C5" s="55" t="s">
        <v>37</v>
      </c>
      <c r="D5" s="56">
        <v>9345581223</v>
      </c>
      <c r="E5" s="55" t="s">
        <v>39</v>
      </c>
      <c r="F5" s="94" t="s">
        <v>1520</v>
      </c>
      <c r="G5" s="56" t="s">
        <v>79</v>
      </c>
      <c r="H5" s="56" t="s">
        <v>42</v>
      </c>
      <c r="I5" s="56" t="s">
        <v>18</v>
      </c>
      <c r="J5" s="78" t="s">
        <v>19</v>
      </c>
    </row>
    <row r="6" spans="1:10" ht="15.75" customHeight="1" x14ac:dyDescent="0.3">
      <c r="A6" s="74" t="s">
        <v>43</v>
      </c>
      <c r="B6" s="59" t="s">
        <v>206</v>
      </c>
      <c r="C6" s="59" t="s">
        <v>45</v>
      </c>
      <c r="D6" s="60"/>
      <c r="E6" s="59" t="s">
        <v>46</v>
      </c>
      <c r="F6" s="95" t="s">
        <v>1596</v>
      </c>
      <c r="G6" s="60" t="s">
        <v>48</v>
      </c>
      <c r="H6" s="60" t="s">
        <v>49</v>
      </c>
      <c r="I6" s="60" t="s">
        <v>26</v>
      </c>
      <c r="J6" s="79" t="s">
        <v>51</v>
      </c>
    </row>
    <row r="7" spans="1:10" ht="15.75" customHeight="1" x14ac:dyDescent="0.3">
      <c r="A7" s="75" t="s">
        <v>52</v>
      </c>
      <c r="B7" s="61" t="s">
        <v>11</v>
      </c>
      <c r="C7" s="61" t="s">
        <v>22</v>
      </c>
      <c r="D7" s="62"/>
      <c r="E7" s="61"/>
      <c r="F7" s="96" t="s">
        <v>1577</v>
      </c>
      <c r="G7" s="62" t="s">
        <v>54</v>
      </c>
      <c r="H7" s="62" t="s">
        <v>17</v>
      </c>
      <c r="I7" s="62"/>
      <c r="J7" s="80"/>
    </row>
    <row r="8" spans="1:10" ht="15.75" customHeight="1" x14ac:dyDescent="0.3">
      <c r="A8" s="72" t="s">
        <v>55</v>
      </c>
      <c r="B8" s="53" t="s">
        <v>227</v>
      </c>
      <c r="C8" s="53" t="s">
        <v>37</v>
      </c>
      <c r="D8" s="54">
        <v>9080531003</v>
      </c>
      <c r="E8" s="53" t="s">
        <v>58</v>
      </c>
      <c r="F8" s="93" t="s">
        <v>1598</v>
      </c>
      <c r="G8" s="54" t="s">
        <v>16</v>
      </c>
      <c r="H8" s="54" t="s">
        <v>25</v>
      </c>
      <c r="I8" s="54" t="s">
        <v>26</v>
      </c>
      <c r="J8" s="77" t="s">
        <v>34</v>
      </c>
    </row>
    <row r="9" spans="1:10" ht="15.75" customHeight="1" x14ac:dyDescent="0.3">
      <c r="A9" s="74" t="s">
        <v>60</v>
      </c>
      <c r="B9" s="59" t="s">
        <v>157</v>
      </c>
      <c r="C9" s="59" t="s">
        <v>62</v>
      </c>
      <c r="D9" s="60"/>
      <c r="E9" s="59" t="s">
        <v>63</v>
      </c>
      <c r="F9" s="95" t="s">
        <v>1582</v>
      </c>
      <c r="G9" s="60" t="s">
        <v>48</v>
      </c>
      <c r="H9" s="60" t="s">
        <v>65</v>
      </c>
      <c r="I9" s="60"/>
      <c r="J9" s="79" t="s">
        <v>66</v>
      </c>
    </row>
    <row r="10" spans="1:10" ht="15.75" customHeight="1" x14ac:dyDescent="0.3">
      <c r="A10" s="72" t="s">
        <v>67</v>
      </c>
      <c r="B10" s="53" t="s">
        <v>157</v>
      </c>
      <c r="C10" s="53" t="s">
        <v>37</v>
      </c>
      <c r="D10" s="54">
        <v>9506716572</v>
      </c>
      <c r="E10" s="53" t="s">
        <v>70</v>
      </c>
      <c r="F10" s="93" t="s">
        <v>1507</v>
      </c>
      <c r="G10" s="54" t="s">
        <v>16</v>
      </c>
      <c r="H10" s="54" t="s">
        <v>72</v>
      </c>
      <c r="I10" s="54" t="s">
        <v>18</v>
      </c>
      <c r="J10" s="77" t="s">
        <v>19</v>
      </c>
    </row>
    <row r="11" spans="1:10" ht="15.75" customHeight="1" x14ac:dyDescent="0.3">
      <c r="A11" s="73" t="s">
        <v>74</v>
      </c>
      <c r="B11" s="55" t="s">
        <v>202</v>
      </c>
      <c r="C11" s="55" t="s">
        <v>22</v>
      </c>
      <c r="D11" s="56">
        <v>9996507527</v>
      </c>
      <c r="E11" s="55" t="s">
        <v>77</v>
      </c>
      <c r="F11" s="94" t="s">
        <v>1581</v>
      </c>
      <c r="G11" s="56" t="s">
        <v>79</v>
      </c>
      <c r="H11" s="56" t="s">
        <v>25</v>
      </c>
      <c r="I11" s="56" t="s">
        <v>18</v>
      </c>
      <c r="J11" s="78" t="s">
        <v>19</v>
      </c>
    </row>
    <row r="12" spans="1:10" ht="15.75" customHeight="1" x14ac:dyDescent="0.3">
      <c r="A12" s="73" t="s">
        <v>80</v>
      </c>
      <c r="B12" s="55" t="s">
        <v>206</v>
      </c>
      <c r="C12" s="55" t="s">
        <v>22</v>
      </c>
      <c r="D12" s="56"/>
      <c r="E12" s="55" t="s">
        <v>81</v>
      </c>
      <c r="F12" s="94" t="s">
        <v>1570</v>
      </c>
      <c r="G12" s="56" t="s">
        <v>79</v>
      </c>
      <c r="H12" s="56" t="s">
        <v>83</v>
      </c>
      <c r="I12" s="56" t="s">
        <v>18</v>
      </c>
      <c r="J12" s="78" t="s">
        <v>34</v>
      </c>
    </row>
    <row r="13" spans="1:10" ht="15.75" customHeight="1" x14ac:dyDescent="0.3">
      <c r="A13" s="75" t="s">
        <v>84</v>
      </c>
      <c r="B13" s="61" t="s">
        <v>227</v>
      </c>
      <c r="C13" s="61" t="s">
        <v>22</v>
      </c>
      <c r="D13" s="62">
        <v>9182337498</v>
      </c>
      <c r="E13" s="61"/>
      <c r="F13" s="96" t="s">
        <v>1589</v>
      </c>
      <c r="G13" s="62" t="s">
        <v>54</v>
      </c>
      <c r="H13" s="62" t="s">
        <v>72</v>
      </c>
      <c r="I13" s="62" t="s">
        <v>18</v>
      </c>
      <c r="J13" s="80" t="s">
        <v>27</v>
      </c>
    </row>
    <row r="14" spans="1:10" ht="15.75" customHeight="1" x14ac:dyDescent="0.3">
      <c r="A14" s="72" t="s">
        <v>87</v>
      </c>
      <c r="B14" s="53" t="s">
        <v>134</v>
      </c>
      <c r="C14" s="53"/>
      <c r="D14" s="54">
        <v>9842710947</v>
      </c>
      <c r="E14" s="53"/>
      <c r="F14" s="93" t="s">
        <v>1561</v>
      </c>
      <c r="G14" s="54" t="s">
        <v>16</v>
      </c>
      <c r="H14" s="54" t="s">
        <v>65</v>
      </c>
      <c r="I14" s="54" t="s">
        <v>26</v>
      </c>
      <c r="J14" s="77" t="s">
        <v>91</v>
      </c>
    </row>
    <row r="15" spans="1:10" ht="15.75" customHeight="1" x14ac:dyDescent="0.3">
      <c r="A15" s="72" t="s">
        <v>92</v>
      </c>
      <c r="B15" s="53" t="s">
        <v>202</v>
      </c>
      <c r="C15" s="53" t="s">
        <v>37</v>
      </c>
      <c r="D15" s="54">
        <v>9294131869</v>
      </c>
      <c r="E15" s="53" t="s">
        <v>95</v>
      </c>
      <c r="F15" s="93" t="s">
        <v>1577</v>
      </c>
      <c r="G15" s="54" t="s">
        <v>16</v>
      </c>
      <c r="H15" s="54" t="s">
        <v>42</v>
      </c>
      <c r="I15" s="54" t="s">
        <v>18</v>
      </c>
      <c r="J15" s="77" t="s">
        <v>66</v>
      </c>
    </row>
    <row r="16" spans="1:10" ht="15.75" customHeight="1" x14ac:dyDescent="0.3">
      <c r="A16" s="72" t="s">
        <v>97</v>
      </c>
      <c r="B16" s="53" t="s">
        <v>202</v>
      </c>
      <c r="C16" s="53" t="s">
        <v>12</v>
      </c>
      <c r="D16" s="54"/>
      <c r="E16" s="53" t="s">
        <v>99</v>
      </c>
      <c r="F16" s="93" t="s">
        <v>1553</v>
      </c>
      <c r="G16" s="54" t="s">
        <v>16</v>
      </c>
      <c r="H16" s="54" t="s">
        <v>1619</v>
      </c>
      <c r="I16" s="54" t="s">
        <v>26</v>
      </c>
      <c r="J16" s="77" t="s">
        <v>34</v>
      </c>
    </row>
    <row r="17" spans="1:10" ht="15.75" customHeight="1" x14ac:dyDescent="0.3">
      <c r="A17" s="74" t="s">
        <v>101</v>
      </c>
      <c r="B17" s="59" t="s">
        <v>597</v>
      </c>
      <c r="C17" s="59"/>
      <c r="D17" s="60">
        <v>9242102499</v>
      </c>
      <c r="E17" s="59" t="s">
        <v>104</v>
      </c>
      <c r="F17" s="95" t="s">
        <v>1559</v>
      </c>
      <c r="G17" s="60" t="s">
        <v>48</v>
      </c>
      <c r="H17" s="60" t="s">
        <v>83</v>
      </c>
      <c r="I17" s="60" t="s">
        <v>26</v>
      </c>
      <c r="J17" s="79" t="s">
        <v>106</v>
      </c>
    </row>
    <row r="18" spans="1:10" ht="15.75" customHeight="1" x14ac:dyDescent="0.3">
      <c r="A18" s="76" t="s">
        <v>107</v>
      </c>
      <c r="B18" s="57" t="s">
        <v>193</v>
      </c>
      <c r="C18" s="57" t="s">
        <v>45</v>
      </c>
      <c r="D18" s="58"/>
      <c r="E18" s="57" t="s">
        <v>109</v>
      </c>
      <c r="F18" s="97" t="s">
        <v>1514</v>
      </c>
      <c r="G18" s="58" t="s">
        <v>111</v>
      </c>
      <c r="H18" s="58" t="s">
        <v>42</v>
      </c>
      <c r="I18" s="58" t="s">
        <v>26</v>
      </c>
      <c r="J18" s="81" t="s">
        <v>91</v>
      </c>
    </row>
    <row r="19" spans="1:10" ht="15.75" customHeight="1" x14ac:dyDescent="0.3">
      <c r="A19" s="72" t="s">
        <v>113</v>
      </c>
      <c r="B19" s="53" t="s">
        <v>202</v>
      </c>
      <c r="C19" s="53" t="s">
        <v>12</v>
      </c>
      <c r="D19" s="54">
        <v>9125674680</v>
      </c>
      <c r="E19" s="53"/>
      <c r="F19" s="93" t="s">
        <v>1542</v>
      </c>
      <c r="G19" s="54" t="s">
        <v>16</v>
      </c>
      <c r="H19" s="54" t="s">
        <v>42</v>
      </c>
      <c r="I19" s="54"/>
      <c r="J19" s="77" t="s">
        <v>27</v>
      </c>
    </row>
    <row r="20" spans="1:10" ht="15.75" customHeight="1" x14ac:dyDescent="0.3">
      <c r="A20" s="72" t="s">
        <v>117</v>
      </c>
      <c r="B20" s="53" t="s">
        <v>193</v>
      </c>
      <c r="C20" s="53" t="s">
        <v>119</v>
      </c>
      <c r="D20" s="54">
        <v>9038597703</v>
      </c>
      <c r="E20" s="53" t="s">
        <v>121</v>
      </c>
      <c r="F20" s="93" t="s">
        <v>1559</v>
      </c>
      <c r="G20" s="54" t="s">
        <v>16</v>
      </c>
      <c r="H20" s="54" t="s">
        <v>1619</v>
      </c>
      <c r="I20" s="54" t="s">
        <v>26</v>
      </c>
      <c r="J20" s="77" t="s">
        <v>19</v>
      </c>
    </row>
    <row r="21" spans="1:10" ht="15.75" customHeight="1" x14ac:dyDescent="0.3">
      <c r="A21" s="76" t="s">
        <v>122</v>
      </c>
      <c r="B21" s="57" t="s">
        <v>134</v>
      </c>
      <c r="C21" s="57" t="s">
        <v>45</v>
      </c>
      <c r="D21" s="58"/>
      <c r="E21" s="57" t="s">
        <v>123</v>
      </c>
      <c r="F21" s="97" t="s">
        <v>1582</v>
      </c>
      <c r="G21" s="58" t="s">
        <v>111</v>
      </c>
      <c r="H21" s="58" t="s">
        <v>125</v>
      </c>
      <c r="I21" s="58"/>
      <c r="J21" s="81" t="s">
        <v>106</v>
      </c>
    </row>
    <row r="22" spans="1:10" ht="15.75" customHeight="1" x14ac:dyDescent="0.3">
      <c r="A22" s="72" t="s">
        <v>126</v>
      </c>
      <c r="B22" s="53" t="s">
        <v>227</v>
      </c>
      <c r="C22" s="53"/>
      <c r="D22" s="54">
        <v>9404499727</v>
      </c>
      <c r="E22" s="53" t="s">
        <v>128</v>
      </c>
      <c r="F22" s="93" t="s">
        <v>1540</v>
      </c>
      <c r="G22" s="54" t="s">
        <v>16</v>
      </c>
      <c r="H22" s="54" t="s">
        <v>25</v>
      </c>
      <c r="I22" s="54" t="s">
        <v>26</v>
      </c>
      <c r="J22" s="77" t="s">
        <v>19</v>
      </c>
    </row>
    <row r="23" spans="1:10" ht="15.75" customHeight="1" x14ac:dyDescent="0.3">
      <c r="A23" s="72" t="s">
        <v>130</v>
      </c>
      <c r="B23" s="53" t="s">
        <v>11</v>
      </c>
      <c r="C23" s="53" t="s">
        <v>119</v>
      </c>
      <c r="D23" s="54">
        <v>9576627028</v>
      </c>
      <c r="E23" s="53"/>
      <c r="F23" s="93" t="s">
        <v>1514</v>
      </c>
      <c r="G23" s="54" t="s">
        <v>16</v>
      </c>
      <c r="H23" s="54" t="s">
        <v>1619</v>
      </c>
      <c r="I23" s="54" t="s">
        <v>26</v>
      </c>
      <c r="J23" s="77"/>
    </row>
    <row r="24" spans="1:10" ht="15.75" customHeight="1" x14ac:dyDescent="0.3">
      <c r="A24" s="72" t="s">
        <v>133</v>
      </c>
      <c r="B24" s="53" t="s">
        <v>134</v>
      </c>
      <c r="C24" s="53" t="s">
        <v>12</v>
      </c>
      <c r="D24" s="54">
        <v>9961586578</v>
      </c>
      <c r="E24" s="53" t="s">
        <v>136</v>
      </c>
      <c r="F24" s="93" t="s">
        <v>1611</v>
      </c>
      <c r="G24" s="54" t="s">
        <v>16</v>
      </c>
      <c r="H24" s="54" t="s">
        <v>65</v>
      </c>
      <c r="I24" s="54"/>
      <c r="J24" s="77" t="s">
        <v>106</v>
      </c>
    </row>
    <row r="25" spans="1:10" ht="15.75" customHeight="1" x14ac:dyDescent="0.3">
      <c r="A25" s="72" t="s">
        <v>138</v>
      </c>
      <c r="B25" s="53" t="s">
        <v>36</v>
      </c>
      <c r="C25" s="53" t="s">
        <v>37</v>
      </c>
      <c r="D25" s="54">
        <v>9504556238</v>
      </c>
      <c r="E25" s="53" t="s">
        <v>140</v>
      </c>
      <c r="F25" s="93" t="s">
        <v>1558</v>
      </c>
      <c r="G25" s="54" t="s">
        <v>16</v>
      </c>
      <c r="H25" s="54" t="s">
        <v>25</v>
      </c>
      <c r="I25" s="54" t="s">
        <v>26</v>
      </c>
      <c r="J25" s="77" t="s">
        <v>143</v>
      </c>
    </row>
    <row r="26" spans="1:10" ht="15.75" customHeight="1" x14ac:dyDescent="0.3">
      <c r="A26" s="75" t="s">
        <v>144</v>
      </c>
      <c r="B26" s="61" t="s">
        <v>597</v>
      </c>
      <c r="C26" s="61" t="s">
        <v>119</v>
      </c>
      <c r="D26" s="62">
        <v>9074821759</v>
      </c>
      <c r="E26" s="61" t="s">
        <v>146</v>
      </c>
      <c r="F26" s="96" t="s">
        <v>1538</v>
      </c>
      <c r="G26" s="62" t="s">
        <v>54</v>
      </c>
      <c r="H26" s="62" t="s">
        <v>83</v>
      </c>
      <c r="I26" s="62" t="s">
        <v>18</v>
      </c>
      <c r="J26" s="80" t="s">
        <v>19</v>
      </c>
    </row>
    <row r="27" spans="1:10" ht="15.75" customHeight="1" x14ac:dyDescent="0.3">
      <c r="A27" s="74" t="s">
        <v>148</v>
      </c>
      <c r="B27" s="59" t="s">
        <v>206</v>
      </c>
      <c r="C27" s="59" t="s">
        <v>12</v>
      </c>
      <c r="D27" s="60"/>
      <c r="E27" s="59" t="s">
        <v>150</v>
      </c>
      <c r="F27" s="95" t="s">
        <v>1604</v>
      </c>
      <c r="G27" s="60" t="s">
        <v>48</v>
      </c>
      <c r="H27" s="60" t="s">
        <v>125</v>
      </c>
      <c r="I27" s="60" t="s">
        <v>26</v>
      </c>
      <c r="J27" s="79" t="s">
        <v>106</v>
      </c>
    </row>
    <row r="28" spans="1:10" ht="15.75" customHeight="1" x14ac:dyDescent="0.3">
      <c r="A28" s="76" t="s">
        <v>152</v>
      </c>
      <c r="B28" s="57" t="s">
        <v>153</v>
      </c>
      <c r="C28" s="57" t="s">
        <v>37</v>
      </c>
      <c r="D28" s="58"/>
      <c r="E28" s="57" t="s">
        <v>154</v>
      </c>
      <c r="F28" s="97" t="s">
        <v>1529</v>
      </c>
      <c r="G28" s="58" t="s">
        <v>111</v>
      </c>
      <c r="H28" s="58" t="s">
        <v>83</v>
      </c>
      <c r="I28" s="58"/>
      <c r="J28" s="81" t="s">
        <v>34</v>
      </c>
    </row>
    <row r="29" spans="1:10" ht="15.75" customHeight="1" x14ac:dyDescent="0.3">
      <c r="A29" s="73" t="s">
        <v>156</v>
      </c>
      <c r="B29" s="55" t="s">
        <v>157</v>
      </c>
      <c r="C29" s="55" t="s">
        <v>37</v>
      </c>
      <c r="D29" s="56">
        <v>9368516048</v>
      </c>
      <c r="E29" s="55" t="s">
        <v>159</v>
      </c>
      <c r="F29" s="94" t="s">
        <v>1524</v>
      </c>
      <c r="G29" s="56" t="s">
        <v>79</v>
      </c>
      <c r="H29" s="56" t="s">
        <v>25</v>
      </c>
      <c r="I29" s="56" t="s">
        <v>26</v>
      </c>
      <c r="J29" s="78" t="s">
        <v>66</v>
      </c>
    </row>
    <row r="30" spans="1:10" ht="15.75" customHeight="1" x14ac:dyDescent="0.3">
      <c r="A30" s="72" t="s">
        <v>161</v>
      </c>
      <c r="B30" s="53" t="s">
        <v>157</v>
      </c>
      <c r="C30" s="53" t="s">
        <v>62</v>
      </c>
      <c r="D30" s="54">
        <v>9461200471</v>
      </c>
      <c r="E30" s="53" t="s">
        <v>163</v>
      </c>
      <c r="F30" s="93" t="s">
        <v>1538</v>
      </c>
      <c r="G30" s="54" t="s">
        <v>16</v>
      </c>
      <c r="H30" s="54" t="s">
        <v>125</v>
      </c>
      <c r="I30" s="54" t="s">
        <v>26</v>
      </c>
      <c r="J30" s="77" t="s">
        <v>106</v>
      </c>
    </row>
    <row r="31" spans="1:10" ht="15.75" customHeight="1" x14ac:dyDescent="0.3">
      <c r="A31" s="72" t="s">
        <v>164</v>
      </c>
      <c r="B31" s="53" t="s">
        <v>29</v>
      </c>
      <c r="C31" s="53" t="s">
        <v>12</v>
      </c>
      <c r="D31" s="54"/>
      <c r="E31" s="53" t="s">
        <v>166</v>
      </c>
      <c r="F31" s="93" t="s">
        <v>1572</v>
      </c>
      <c r="G31" s="54" t="s">
        <v>16</v>
      </c>
      <c r="H31" s="54" t="s">
        <v>49</v>
      </c>
      <c r="I31" s="54" t="s">
        <v>18</v>
      </c>
      <c r="J31" s="77" t="s">
        <v>51</v>
      </c>
    </row>
    <row r="32" spans="1:10" ht="15.75" customHeight="1" x14ac:dyDescent="0.3">
      <c r="A32" s="76" t="s">
        <v>168</v>
      </c>
      <c r="B32" s="57" t="s">
        <v>597</v>
      </c>
      <c r="C32" s="57" t="s">
        <v>22</v>
      </c>
      <c r="D32" s="58">
        <v>9839335290</v>
      </c>
      <c r="E32" s="57"/>
      <c r="F32" s="97" t="s">
        <v>1598</v>
      </c>
      <c r="G32" s="58" t="s">
        <v>111</v>
      </c>
      <c r="H32" s="58" t="s">
        <v>49</v>
      </c>
      <c r="I32" s="58" t="s">
        <v>26</v>
      </c>
      <c r="J32" s="81" t="s">
        <v>66</v>
      </c>
    </row>
    <row r="33" spans="1:10" ht="15.75" customHeight="1" x14ac:dyDescent="0.3">
      <c r="A33" s="73" t="s">
        <v>172</v>
      </c>
      <c r="B33" s="55" t="s">
        <v>157</v>
      </c>
      <c r="C33" s="55" t="s">
        <v>37</v>
      </c>
      <c r="D33" s="56"/>
      <c r="E33" s="55" t="s">
        <v>173</v>
      </c>
      <c r="F33" s="94" t="s">
        <v>1565</v>
      </c>
      <c r="G33" s="56" t="s">
        <v>79</v>
      </c>
      <c r="H33" s="56" t="s">
        <v>72</v>
      </c>
      <c r="I33" s="56" t="s">
        <v>26</v>
      </c>
      <c r="J33" s="78" t="s">
        <v>66</v>
      </c>
    </row>
    <row r="34" spans="1:10" ht="15.75" customHeight="1" x14ac:dyDescent="0.3">
      <c r="A34" s="74" t="s">
        <v>175</v>
      </c>
      <c r="B34" s="59" t="s">
        <v>193</v>
      </c>
      <c r="C34" s="59" t="s">
        <v>119</v>
      </c>
      <c r="D34" s="60">
        <v>9771159212</v>
      </c>
      <c r="E34" s="59" t="s">
        <v>177</v>
      </c>
      <c r="F34" s="95" t="s">
        <v>1601</v>
      </c>
      <c r="G34" s="60" t="s">
        <v>48</v>
      </c>
      <c r="H34" s="60" t="s">
        <v>42</v>
      </c>
      <c r="I34" s="60" t="s">
        <v>18</v>
      </c>
      <c r="J34" s="79" t="s">
        <v>106</v>
      </c>
    </row>
    <row r="35" spans="1:10" ht="15.75" customHeight="1" x14ac:dyDescent="0.3">
      <c r="A35" s="72" t="s">
        <v>179</v>
      </c>
      <c r="B35" s="53" t="s">
        <v>597</v>
      </c>
      <c r="C35" s="53" t="s">
        <v>22</v>
      </c>
      <c r="D35" s="54">
        <v>9576615654</v>
      </c>
      <c r="E35" s="53" t="s">
        <v>181</v>
      </c>
      <c r="F35" s="93" t="s">
        <v>1512</v>
      </c>
      <c r="G35" s="54" t="s">
        <v>16</v>
      </c>
      <c r="H35" s="54" t="s">
        <v>65</v>
      </c>
      <c r="I35" s="54" t="s">
        <v>26</v>
      </c>
      <c r="J35" s="77" t="s">
        <v>51</v>
      </c>
    </row>
    <row r="36" spans="1:10" ht="15.75" customHeight="1" x14ac:dyDescent="0.3">
      <c r="A36" s="75" t="s">
        <v>183</v>
      </c>
      <c r="B36" s="61" t="s">
        <v>134</v>
      </c>
      <c r="C36" s="61"/>
      <c r="D36" s="62">
        <v>9851656049</v>
      </c>
      <c r="E36" s="61" t="s">
        <v>186</v>
      </c>
      <c r="F36" s="96" t="s">
        <v>1603</v>
      </c>
      <c r="G36" s="62" t="s">
        <v>54</v>
      </c>
      <c r="H36" s="62" t="s">
        <v>17</v>
      </c>
      <c r="I36" s="62"/>
      <c r="J36" s="80" t="s">
        <v>27</v>
      </c>
    </row>
    <row r="37" spans="1:10" ht="15.75" customHeight="1" x14ac:dyDescent="0.3">
      <c r="A37" s="76" t="s">
        <v>188</v>
      </c>
      <c r="B37" s="57" t="s">
        <v>157</v>
      </c>
      <c r="C37" s="57" t="s">
        <v>45</v>
      </c>
      <c r="D37" s="58">
        <v>9689980940</v>
      </c>
      <c r="E37" s="57" t="s">
        <v>190</v>
      </c>
      <c r="F37" s="97" t="s">
        <v>1570</v>
      </c>
      <c r="G37" s="58" t="s">
        <v>111</v>
      </c>
      <c r="H37" s="58" t="s">
        <v>42</v>
      </c>
      <c r="I37" s="58" t="s">
        <v>18</v>
      </c>
      <c r="J37" s="81" t="s">
        <v>143</v>
      </c>
    </row>
    <row r="38" spans="1:10" ht="15.75" customHeight="1" x14ac:dyDescent="0.3">
      <c r="A38" s="72" t="s">
        <v>192</v>
      </c>
      <c r="B38" s="53" t="s">
        <v>193</v>
      </c>
      <c r="C38" s="53" t="s">
        <v>22</v>
      </c>
      <c r="D38" s="54">
        <v>9675254599</v>
      </c>
      <c r="E38" s="53"/>
      <c r="F38" s="93" t="s">
        <v>1549</v>
      </c>
      <c r="G38" s="54" t="s">
        <v>16</v>
      </c>
      <c r="H38" s="54" t="s">
        <v>42</v>
      </c>
      <c r="I38" s="54" t="s">
        <v>26</v>
      </c>
      <c r="J38" s="77" t="s">
        <v>91</v>
      </c>
    </row>
    <row r="39" spans="1:10" ht="15.75" customHeight="1" x14ac:dyDescent="0.3">
      <c r="A39" s="75" t="s">
        <v>196</v>
      </c>
      <c r="B39" s="61" t="s">
        <v>206</v>
      </c>
      <c r="C39" s="61" t="s">
        <v>45</v>
      </c>
      <c r="D39" s="62">
        <v>9561497840</v>
      </c>
      <c r="E39" s="61" t="s">
        <v>199</v>
      </c>
      <c r="F39" s="96" t="s">
        <v>1515</v>
      </c>
      <c r="G39" s="62" t="s">
        <v>54</v>
      </c>
      <c r="H39" s="62" t="s">
        <v>72</v>
      </c>
      <c r="I39" s="62" t="s">
        <v>18</v>
      </c>
      <c r="J39" s="80" t="s">
        <v>51</v>
      </c>
    </row>
    <row r="40" spans="1:10" ht="15.75" customHeight="1" x14ac:dyDescent="0.3">
      <c r="A40" s="72" t="s">
        <v>201</v>
      </c>
      <c r="B40" s="53" t="s">
        <v>202</v>
      </c>
      <c r="C40" s="53" t="s">
        <v>119</v>
      </c>
      <c r="D40" s="54"/>
      <c r="E40" s="53" t="s">
        <v>203</v>
      </c>
      <c r="F40" s="93" t="s">
        <v>1535</v>
      </c>
      <c r="G40" s="54" t="s">
        <v>16</v>
      </c>
      <c r="H40" s="54" t="s">
        <v>42</v>
      </c>
      <c r="I40" s="54" t="s">
        <v>18</v>
      </c>
      <c r="J40" s="77" t="s">
        <v>106</v>
      </c>
    </row>
    <row r="41" spans="1:10" ht="15.75" customHeight="1" x14ac:dyDescent="0.3">
      <c r="A41" s="75" t="s">
        <v>205</v>
      </c>
      <c r="B41" s="61" t="s">
        <v>206</v>
      </c>
      <c r="C41" s="61" t="s">
        <v>22</v>
      </c>
      <c r="D41" s="62">
        <v>9751613696</v>
      </c>
      <c r="E41" s="61"/>
      <c r="F41" s="96" t="s">
        <v>1527</v>
      </c>
      <c r="G41" s="62" t="s">
        <v>54</v>
      </c>
      <c r="H41" s="62" t="s">
        <v>125</v>
      </c>
      <c r="I41" s="62" t="s">
        <v>18</v>
      </c>
      <c r="J41" s="80" t="s">
        <v>27</v>
      </c>
    </row>
    <row r="42" spans="1:10" ht="15.75" customHeight="1" x14ac:dyDescent="0.3">
      <c r="A42" s="72" t="s">
        <v>209</v>
      </c>
      <c r="B42" s="53" t="s">
        <v>202</v>
      </c>
      <c r="C42" s="53"/>
      <c r="D42" s="54">
        <v>9523124329</v>
      </c>
      <c r="E42" s="53" t="s">
        <v>211</v>
      </c>
      <c r="F42" s="93" t="s">
        <v>1580</v>
      </c>
      <c r="G42" s="54" t="s">
        <v>16</v>
      </c>
      <c r="H42" s="54" t="s">
        <v>83</v>
      </c>
      <c r="I42" s="54" t="s">
        <v>26</v>
      </c>
      <c r="J42" s="77" t="s">
        <v>51</v>
      </c>
    </row>
    <row r="43" spans="1:10" ht="15.75" customHeight="1" x14ac:dyDescent="0.3">
      <c r="A43" s="72" t="s">
        <v>213</v>
      </c>
      <c r="B43" s="53" t="s">
        <v>157</v>
      </c>
      <c r="C43" s="53" t="s">
        <v>119</v>
      </c>
      <c r="D43" s="54">
        <v>9449058147</v>
      </c>
      <c r="E43" s="53"/>
      <c r="F43" s="93" t="s">
        <v>1590</v>
      </c>
      <c r="G43" s="54" t="s">
        <v>16</v>
      </c>
      <c r="H43" s="54" t="s">
        <v>65</v>
      </c>
      <c r="I43" s="54" t="s">
        <v>18</v>
      </c>
      <c r="J43" s="77" t="s">
        <v>27</v>
      </c>
    </row>
    <row r="44" spans="1:10" ht="15.75" customHeight="1" x14ac:dyDescent="0.3">
      <c r="A44" s="76" t="s">
        <v>217</v>
      </c>
      <c r="B44" s="57" t="s">
        <v>206</v>
      </c>
      <c r="C44" s="57"/>
      <c r="D44" s="58">
        <v>9793597820</v>
      </c>
      <c r="E44" s="57"/>
      <c r="F44" s="97" t="s">
        <v>1531</v>
      </c>
      <c r="G44" s="58" t="s">
        <v>111</v>
      </c>
      <c r="H44" s="58" t="s">
        <v>1619</v>
      </c>
      <c r="I44" s="58" t="s">
        <v>26</v>
      </c>
      <c r="J44" s="81" t="s">
        <v>91</v>
      </c>
    </row>
    <row r="45" spans="1:10" ht="15.75" customHeight="1" x14ac:dyDescent="0.3">
      <c r="A45" s="73" t="s">
        <v>220</v>
      </c>
      <c r="B45" s="55" t="s">
        <v>36</v>
      </c>
      <c r="C45" s="55" t="s">
        <v>12</v>
      </c>
      <c r="D45" s="56"/>
      <c r="E45" s="55" t="s">
        <v>221</v>
      </c>
      <c r="F45" s="94" t="s">
        <v>1525</v>
      </c>
      <c r="G45" s="56" t="s">
        <v>79</v>
      </c>
      <c r="H45" s="56" t="s">
        <v>125</v>
      </c>
      <c r="I45" s="56" t="s">
        <v>18</v>
      </c>
      <c r="J45" s="78" t="s">
        <v>34</v>
      </c>
    </row>
    <row r="46" spans="1:10" ht="15.75" customHeight="1" x14ac:dyDescent="0.3">
      <c r="A46" s="72" t="s">
        <v>223</v>
      </c>
      <c r="B46" s="53" t="s">
        <v>11</v>
      </c>
      <c r="C46" s="53" t="s">
        <v>37</v>
      </c>
      <c r="D46" s="54">
        <v>9865281685</v>
      </c>
      <c r="E46" s="53"/>
      <c r="F46" s="93" t="s">
        <v>1522</v>
      </c>
      <c r="G46" s="54" t="s">
        <v>16</v>
      </c>
      <c r="H46" s="54" t="s">
        <v>125</v>
      </c>
      <c r="I46" s="54" t="s">
        <v>26</v>
      </c>
      <c r="J46" s="77" t="s">
        <v>106</v>
      </c>
    </row>
    <row r="47" spans="1:10" ht="15.75" customHeight="1" x14ac:dyDescent="0.3">
      <c r="A47" s="72" t="s">
        <v>226</v>
      </c>
      <c r="B47" s="53" t="s">
        <v>227</v>
      </c>
      <c r="C47" s="53" t="s">
        <v>45</v>
      </c>
      <c r="D47" s="54"/>
      <c r="E47" s="53" t="s">
        <v>228</v>
      </c>
      <c r="F47" s="93" t="s">
        <v>1514</v>
      </c>
      <c r="G47" s="54" t="s">
        <v>16</v>
      </c>
      <c r="H47" s="54" t="s">
        <v>25</v>
      </c>
      <c r="I47" s="54" t="s">
        <v>26</v>
      </c>
      <c r="J47" s="77" t="s">
        <v>34</v>
      </c>
    </row>
    <row r="48" spans="1:10" ht="15.75" customHeight="1" x14ac:dyDescent="0.3">
      <c r="A48" s="73" t="s">
        <v>229</v>
      </c>
      <c r="B48" s="55" t="s">
        <v>36</v>
      </c>
      <c r="C48" s="55" t="s">
        <v>12</v>
      </c>
      <c r="D48" s="56">
        <v>9359774688</v>
      </c>
      <c r="E48" s="55" t="s">
        <v>231</v>
      </c>
      <c r="F48" s="94" t="s">
        <v>1602</v>
      </c>
      <c r="G48" s="56" t="s">
        <v>79</v>
      </c>
      <c r="H48" s="56" t="s">
        <v>17</v>
      </c>
      <c r="I48" s="56" t="s">
        <v>18</v>
      </c>
      <c r="J48" s="78" t="s">
        <v>106</v>
      </c>
    </row>
    <row r="49" spans="1:10" ht="15.75" customHeight="1" x14ac:dyDescent="0.3">
      <c r="A49" s="72" t="s">
        <v>233</v>
      </c>
      <c r="B49" s="53" t="s">
        <v>202</v>
      </c>
      <c r="C49" s="53"/>
      <c r="D49" s="54">
        <v>9478261375</v>
      </c>
      <c r="E49" s="53" t="s">
        <v>235</v>
      </c>
      <c r="F49" s="93" t="s">
        <v>1609</v>
      </c>
      <c r="G49" s="54" t="s">
        <v>16</v>
      </c>
      <c r="H49" s="54" t="s">
        <v>49</v>
      </c>
      <c r="I49" s="54" t="s">
        <v>18</v>
      </c>
      <c r="J49" s="77" t="s">
        <v>106</v>
      </c>
    </row>
    <row r="50" spans="1:10" ht="15.75" customHeight="1" x14ac:dyDescent="0.3">
      <c r="A50" s="72" t="s">
        <v>237</v>
      </c>
      <c r="B50" s="53" t="s">
        <v>157</v>
      </c>
      <c r="C50" s="53" t="s">
        <v>12</v>
      </c>
      <c r="D50" s="54"/>
      <c r="E50" s="53"/>
      <c r="F50" s="93" t="s">
        <v>1525</v>
      </c>
      <c r="G50" s="54" t="s">
        <v>16</v>
      </c>
      <c r="H50" s="54" t="s">
        <v>25</v>
      </c>
      <c r="I50" s="54" t="s">
        <v>18</v>
      </c>
      <c r="J50" s="77" t="s">
        <v>106</v>
      </c>
    </row>
    <row r="51" spans="1:10" ht="15.75" customHeight="1" x14ac:dyDescent="0.3">
      <c r="A51" s="75" t="s">
        <v>239</v>
      </c>
      <c r="B51" s="61" t="s">
        <v>193</v>
      </c>
      <c r="C51" s="61"/>
      <c r="D51" s="62">
        <v>9711798089</v>
      </c>
      <c r="E51" s="61" t="s">
        <v>242</v>
      </c>
      <c r="F51" s="96" t="s">
        <v>1509</v>
      </c>
      <c r="G51" s="62" t="s">
        <v>54</v>
      </c>
      <c r="H51" s="62" t="s">
        <v>125</v>
      </c>
      <c r="I51" s="62" t="s">
        <v>26</v>
      </c>
      <c r="J51" s="80" t="s">
        <v>106</v>
      </c>
    </row>
    <row r="52" spans="1:10" ht="15.75" customHeight="1" x14ac:dyDescent="0.3">
      <c r="A52" s="75" t="s">
        <v>244</v>
      </c>
      <c r="B52" s="61" t="s">
        <v>157</v>
      </c>
      <c r="C52" s="61" t="s">
        <v>45</v>
      </c>
      <c r="D52" s="62"/>
      <c r="E52" s="61"/>
      <c r="F52" s="96" t="s">
        <v>1512</v>
      </c>
      <c r="G52" s="62" t="s">
        <v>54</v>
      </c>
      <c r="H52" s="62" t="s">
        <v>65</v>
      </c>
      <c r="I52" s="62"/>
      <c r="J52" s="80" t="s">
        <v>51</v>
      </c>
    </row>
    <row r="53" spans="1:10" ht="15.75" customHeight="1" x14ac:dyDescent="0.3">
      <c r="A53" s="72" t="s">
        <v>246</v>
      </c>
      <c r="B53" s="53" t="s">
        <v>134</v>
      </c>
      <c r="C53" s="53" t="s">
        <v>12</v>
      </c>
      <c r="D53" s="54">
        <v>9772217043</v>
      </c>
      <c r="E53" s="53" t="s">
        <v>248</v>
      </c>
      <c r="F53" s="93" t="s">
        <v>1527</v>
      </c>
      <c r="G53" s="54" t="s">
        <v>16</v>
      </c>
      <c r="H53" s="54" t="s">
        <v>25</v>
      </c>
      <c r="I53" s="54" t="s">
        <v>18</v>
      </c>
      <c r="J53" s="77" t="s">
        <v>51</v>
      </c>
    </row>
    <row r="54" spans="1:10" ht="15.75" customHeight="1" x14ac:dyDescent="0.3">
      <c r="A54" s="72" t="s">
        <v>250</v>
      </c>
      <c r="B54" s="53" t="s">
        <v>193</v>
      </c>
      <c r="C54" s="53" t="s">
        <v>37</v>
      </c>
      <c r="D54" s="54"/>
      <c r="E54" s="53" t="s">
        <v>251</v>
      </c>
      <c r="F54" s="93" t="s">
        <v>1523</v>
      </c>
      <c r="G54" s="54" t="s">
        <v>16</v>
      </c>
      <c r="H54" s="54" t="s">
        <v>125</v>
      </c>
      <c r="I54" s="54" t="s">
        <v>18</v>
      </c>
      <c r="J54" s="77" t="s">
        <v>34</v>
      </c>
    </row>
    <row r="55" spans="1:10" ht="15.75" customHeight="1" x14ac:dyDescent="0.3">
      <c r="A55" s="72" t="s">
        <v>253</v>
      </c>
      <c r="B55" s="53" t="s">
        <v>157</v>
      </c>
      <c r="C55" s="53"/>
      <c r="D55" s="54"/>
      <c r="E55" s="53" t="s">
        <v>254</v>
      </c>
      <c r="F55" s="93" t="s">
        <v>1610</v>
      </c>
      <c r="G55" s="54" t="s">
        <v>16</v>
      </c>
      <c r="H55" s="54" t="s">
        <v>42</v>
      </c>
      <c r="I55" s="54" t="s">
        <v>18</v>
      </c>
      <c r="J55" s="77" t="s">
        <v>27</v>
      </c>
    </row>
    <row r="56" spans="1:10" ht="15.75" customHeight="1" x14ac:dyDescent="0.3">
      <c r="A56" s="72" t="s">
        <v>256</v>
      </c>
      <c r="B56" s="53" t="s">
        <v>134</v>
      </c>
      <c r="C56" s="53" t="s">
        <v>45</v>
      </c>
      <c r="D56" s="54">
        <v>9021355690</v>
      </c>
      <c r="E56" s="53" t="s">
        <v>258</v>
      </c>
      <c r="F56" s="93" t="s">
        <v>1590</v>
      </c>
      <c r="G56" s="54" t="s">
        <v>16</v>
      </c>
      <c r="H56" s="54" t="s">
        <v>17</v>
      </c>
      <c r="I56" s="54" t="s">
        <v>26</v>
      </c>
      <c r="J56" s="77" t="s">
        <v>51</v>
      </c>
    </row>
    <row r="57" spans="1:10" ht="15.75" customHeight="1" x14ac:dyDescent="0.3">
      <c r="A57" s="76" t="s">
        <v>260</v>
      </c>
      <c r="B57" s="57" t="s">
        <v>227</v>
      </c>
      <c r="C57" s="57" t="s">
        <v>37</v>
      </c>
      <c r="D57" s="58">
        <v>9786814473</v>
      </c>
      <c r="E57" s="57" t="s">
        <v>262</v>
      </c>
      <c r="F57" s="97" t="s">
        <v>1568</v>
      </c>
      <c r="G57" s="58" t="s">
        <v>111</v>
      </c>
      <c r="H57" s="58" t="s">
        <v>83</v>
      </c>
      <c r="I57" s="58" t="s">
        <v>26</v>
      </c>
      <c r="J57" s="81" t="s">
        <v>91</v>
      </c>
    </row>
    <row r="58" spans="1:10" ht="15.75" customHeight="1" x14ac:dyDescent="0.3">
      <c r="A58" s="73" t="s">
        <v>264</v>
      </c>
      <c r="B58" s="55" t="s">
        <v>202</v>
      </c>
      <c r="C58" s="55" t="s">
        <v>62</v>
      </c>
      <c r="D58" s="56">
        <v>9884422583</v>
      </c>
      <c r="E58" s="55" t="s">
        <v>266</v>
      </c>
      <c r="F58" s="94" t="s">
        <v>1550</v>
      </c>
      <c r="G58" s="56" t="s">
        <v>79</v>
      </c>
      <c r="H58" s="56" t="s">
        <v>17</v>
      </c>
      <c r="I58" s="56" t="s">
        <v>26</v>
      </c>
      <c r="J58" s="78" t="s">
        <v>27</v>
      </c>
    </row>
    <row r="59" spans="1:10" ht="15.75" customHeight="1" x14ac:dyDescent="0.3">
      <c r="A59" s="76" t="s">
        <v>268</v>
      </c>
      <c r="B59" s="57" t="s">
        <v>134</v>
      </c>
      <c r="C59" s="57" t="s">
        <v>37</v>
      </c>
      <c r="D59" s="58"/>
      <c r="E59" s="57"/>
      <c r="F59" s="97" t="s">
        <v>1588</v>
      </c>
      <c r="G59" s="58" t="s">
        <v>111</v>
      </c>
      <c r="H59" s="58" t="s">
        <v>125</v>
      </c>
      <c r="I59" s="58"/>
      <c r="J59" s="81" t="s">
        <v>143</v>
      </c>
    </row>
    <row r="60" spans="1:10" ht="15.75" customHeight="1" x14ac:dyDescent="0.3">
      <c r="A60" s="76" t="s">
        <v>270</v>
      </c>
      <c r="B60" s="57" t="s">
        <v>206</v>
      </c>
      <c r="C60" s="57" t="s">
        <v>37</v>
      </c>
      <c r="D60" s="58">
        <v>9824225358</v>
      </c>
      <c r="E60" s="57" t="s">
        <v>272</v>
      </c>
      <c r="F60" s="97" t="s">
        <v>1548</v>
      </c>
      <c r="G60" s="58" t="s">
        <v>111</v>
      </c>
      <c r="H60" s="58" t="s">
        <v>65</v>
      </c>
      <c r="I60" s="58" t="s">
        <v>18</v>
      </c>
      <c r="J60" s="81" t="s">
        <v>143</v>
      </c>
    </row>
    <row r="61" spans="1:10" ht="15.75" customHeight="1" x14ac:dyDescent="0.3">
      <c r="A61" s="74" t="s">
        <v>274</v>
      </c>
      <c r="B61" s="59" t="s">
        <v>275</v>
      </c>
      <c r="C61" s="59" t="s">
        <v>62</v>
      </c>
      <c r="D61" s="60"/>
      <c r="E61" s="59" t="s">
        <v>276</v>
      </c>
      <c r="F61" s="95" t="s">
        <v>1550</v>
      </c>
      <c r="G61" s="60" t="s">
        <v>48</v>
      </c>
      <c r="H61" s="60" t="s">
        <v>42</v>
      </c>
      <c r="I61" s="60" t="s">
        <v>18</v>
      </c>
      <c r="J61" s="79" t="s">
        <v>91</v>
      </c>
    </row>
    <row r="62" spans="1:10" ht="15.75" customHeight="1" x14ac:dyDescent="0.3">
      <c r="A62" s="72" t="s">
        <v>278</v>
      </c>
      <c r="B62" s="53" t="s">
        <v>202</v>
      </c>
      <c r="C62" s="53" t="s">
        <v>119</v>
      </c>
      <c r="D62" s="54">
        <v>9735925556</v>
      </c>
      <c r="E62" s="53" t="s">
        <v>280</v>
      </c>
      <c r="F62" s="93" t="s">
        <v>1513</v>
      </c>
      <c r="G62" s="54" t="s">
        <v>16</v>
      </c>
      <c r="H62" s="54" t="s">
        <v>83</v>
      </c>
      <c r="I62" s="54" t="s">
        <v>26</v>
      </c>
      <c r="J62" s="77" t="s">
        <v>143</v>
      </c>
    </row>
    <row r="63" spans="1:10" ht="15.75" customHeight="1" x14ac:dyDescent="0.3">
      <c r="A63" s="72" t="s">
        <v>282</v>
      </c>
      <c r="B63" s="53" t="s">
        <v>202</v>
      </c>
      <c r="C63" s="53" t="s">
        <v>119</v>
      </c>
      <c r="D63" s="54">
        <v>9632595327</v>
      </c>
      <c r="E63" s="53" t="s">
        <v>284</v>
      </c>
      <c r="F63" s="93" t="s">
        <v>1528</v>
      </c>
      <c r="G63" s="54" t="s">
        <v>16</v>
      </c>
      <c r="H63" s="54" t="s">
        <v>25</v>
      </c>
      <c r="I63" s="54" t="s">
        <v>26</v>
      </c>
      <c r="J63" s="77" t="s">
        <v>51</v>
      </c>
    </row>
    <row r="64" spans="1:10" ht="15.75" customHeight="1" x14ac:dyDescent="0.3">
      <c r="A64" s="73" t="s">
        <v>286</v>
      </c>
      <c r="B64" s="55" t="s">
        <v>193</v>
      </c>
      <c r="C64" s="55" t="s">
        <v>45</v>
      </c>
      <c r="D64" s="56">
        <v>9480162456</v>
      </c>
      <c r="E64" s="55"/>
      <c r="F64" s="94" t="s">
        <v>1599</v>
      </c>
      <c r="G64" s="56" t="s">
        <v>79</v>
      </c>
      <c r="H64" s="56" t="s">
        <v>65</v>
      </c>
      <c r="I64" s="56" t="s">
        <v>26</v>
      </c>
      <c r="J64" s="78" t="s">
        <v>27</v>
      </c>
    </row>
    <row r="65" spans="1:10" ht="15.75" customHeight="1" x14ac:dyDescent="0.3">
      <c r="A65" s="76" t="s">
        <v>289</v>
      </c>
      <c r="B65" s="57" t="s">
        <v>29</v>
      </c>
      <c r="C65" s="57" t="s">
        <v>45</v>
      </c>
      <c r="D65" s="58">
        <v>9121655852</v>
      </c>
      <c r="E65" s="57" t="s">
        <v>292</v>
      </c>
      <c r="F65" s="97" t="s">
        <v>1563</v>
      </c>
      <c r="G65" s="58" t="s">
        <v>111</v>
      </c>
      <c r="H65" s="58" t="s">
        <v>83</v>
      </c>
      <c r="I65" s="58" t="s">
        <v>18</v>
      </c>
      <c r="J65" s="81" t="s">
        <v>91</v>
      </c>
    </row>
    <row r="66" spans="1:10" ht="15.75" customHeight="1" x14ac:dyDescent="0.3">
      <c r="A66" s="73" t="s">
        <v>294</v>
      </c>
      <c r="B66" s="55" t="s">
        <v>134</v>
      </c>
      <c r="C66" s="55" t="s">
        <v>22</v>
      </c>
      <c r="D66" s="56"/>
      <c r="E66" s="55" t="s">
        <v>295</v>
      </c>
      <c r="F66" s="94" t="s">
        <v>1579</v>
      </c>
      <c r="G66" s="56" t="s">
        <v>79</v>
      </c>
      <c r="H66" s="56" t="s">
        <v>65</v>
      </c>
      <c r="I66" s="56" t="s">
        <v>26</v>
      </c>
      <c r="J66" s="78" t="s">
        <v>34</v>
      </c>
    </row>
    <row r="67" spans="1:10" ht="15.75" customHeight="1" x14ac:dyDescent="0.3">
      <c r="A67" s="75" t="s">
        <v>297</v>
      </c>
      <c r="B67" s="61" t="s">
        <v>193</v>
      </c>
      <c r="C67" s="61" t="s">
        <v>62</v>
      </c>
      <c r="D67" s="62">
        <v>9930972896</v>
      </c>
      <c r="E67" s="61" t="s">
        <v>300</v>
      </c>
      <c r="F67" s="96" t="s">
        <v>1559</v>
      </c>
      <c r="G67" s="62" t="s">
        <v>54</v>
      </c>
      <c r="H67" s="62" t="s">
        <v>1619</v>
      </c>
      <c r="I67" s="62" t="s">
        <v>18</v>
      </c>
      <c r="J67" s="80"/>
    </row>
    <row r="68" spans="1:10" ht="15.75" customHeight="1" x14ac:dyDescent="0.3">
      <c r="A68" s="73" t="s">
        <v>302</v>
      </c>
      <c r="B68" s="55" t="s">
        <v>134</v>
      </c>
      <c r="C68" s="55" t="s">
        <v>119</v>
      </c>
      <c r="D68" s="56">
        <v>9970283857</v>
      </c>
      <c r="E68" s="55" t="s">
        <v>305</v>
      </c>
      <c r="F68" s="94" t="s">
        <v>1597</v>
      </c>
      <c r="G68" s="56" t="s">
        <v>79</v>
      </c>
      <c r="H68" s="56" t="s">
        <v>72</v>
      </c>
      <c r="I68" s="56" t="s">
        <v>18</v>
      </c>
      <c r="J68" s="78" t="s">
        <v>91</v>
      </c>
    </row>
    <row r="69" spans="1:10" ht="15.75" customHeight="1" x14ac:dyDescent="0.3">
      <c r="A69" s="72" t="s">
        <v>307</v>
      </c>
      <c r="B69" s="53" t="s">
        <v>597</v>
      </c>
      <c r="C69" s="53" t="s">
        <v>12</v>
      </c>
      <c r="D69" s="54">
        <v>9443757584</v>
      </c>
      <c r="E69" s="53"/>
      <c r="F69" s="93" t="s">
        <v>1591</v>
      </c>
      <c r="G69" s="54" t="s">
        <v>16</v>
      </c>
      <c r="H69" s="54" t="s">
        <v>125</v>
      </c>
      <c r="I69" s="54" t="s">
        <v>18</v>
      </c>
      <c r="J69" s="77" t="s">
        <v>66</v>
      </c>
    </row>
    <row r="70" spans="1:10" ht="15.75" customHeight="1" x14ac:dyDescent="0.3">
      <c r="A70" s="75" t="s">
        <v>310</v>
      </c>
      <c r="B70" s="61" t="s">
        <v>227</v>
      </c>
      <c r="C70" s="61" t="s">
        <v>119</v>
      </c>
      <c r="D70" s="62">
        <v>9733848421</v>
      </c>
      <c r="E70" s="61" t="s">
        <v>312</v>
      </c>
      <c r="F70" s="96" t="s">
        <v>1560</v>
      </c>
      <c r="G70" s="62" t="s">
        <v>54</v>
      </c>
      <c r="H70" s="62" t="s">
        <v>1619</v>
      </c>
      <c r="I70" s="62" t="s">
        <v>26</v>
      </c>
      <c r="J70" s="80" t="s">
        <v>51</v>
      </c>
    </row>
    <row r="71" spans="1:10" ht="15.75" customHeight="1" x14ac:dyDescent="0.3">
      <c r="A71" s="73" t="s">
        <v>314</v>
      </c>
      <c r="B71" s="55" t="s">
        <v>29</v>
      </c>
      <c r="C71" s="55" t="s">
        <v>22</v>
      </c>
      <c r="D71" s="56"/>
      <c r="E71" s="55"/>
      <c r="F71" s="94" t="s">
        <v>1564</v>
      </c>
      <c r="G71" s="56" t="s">
        <v>79</v>
      </c>
      <c r="H71" s="56" t="s">
        <v>125</v>
      </c>
      <c r="I71" s="56" t="s">
        <v>26</v>
      </c>
      <c r="J71" s="78" t="s">
        <v>143</v>
      </c>
    </row>
    <row r="72" spans="1:10" ht="15.75" customHeight="1" x14ac:dyDescent="0.3">
      <c r="A72" s="74" t="s">
        <v>316</v>
      </c>
      <c r="B72" s="59" t="s">
        <v>193</v>
      </c>
      <c r="C72" s="59" t="s">
        <v>22</v>
      </c>
      <c r="D72" s="60"/>
      <c r="E72" s="59" t="s">
        <v>317</v>
      </c>
      <c r="F72" s="95" t="s">
        <v>1529</v>
      </c>
      <c r="G72" s="60" t="s">
        <v>48</v>
      </c>
      <c r="H72" s="60" t="s">
        <v>65</v>
      </c>
      <c r="I72" s="60" t="s">
        <v>18</v>
      </c>
      <c r="J72" s="79" t="s">
        <v>143</v>
      </c>
    </row>
    <row r="73" spans="1:10" ht="15.75" customHeight="1" x14ac:dyDescent="0.3">
      <c r="A73" s="73" t="s">
        <v>319</v>
      </c>
      <c r="B73" s="55" t="s">
        <v>29</v>
      </c>
      <c r="C73" s="55" t="s">
        <v>37</v>
      </c>
      <c r="D73" s="56">
        <v>9493296685</v>
      </c>
      <c r="E73" s="55"/>
      <c r="F73" s="94" t="s">
        <v>1602</v>
      </c>
      <c r="G73" s="56" t="s">
        <v>79</v>
      </c>
      <c r="H73" s="56" t="s">
        <v>49</v>
      </c>
      <c r="I73" s="56" t="s">
        <v>18</v>
      </c>
      <c r="J73" s="78"/>
    </row>
    <row r="74" spans="1:10" ht="15.75" customHeight="1" x14ac:dyDescent="0.3">
      <c r="A74" s="74" t="s">
        <v>322</v>
      </c>
      <c r="B74" s="59" t="s">
        <v>597</v>
      </c>
      <c r="C74" s="59" t="s">
        <v>12</v>
      </c>
      <c r="D74" s="60">
        <v>9990453017</v>
      </c>
      <c r="E74" s="59" t="s">
        <v>324</v>
      </c>
      <c r="F74" s="95" t="s">
        <v>1527</v>
      </c>
      <c r="G74" s="60" t="s">
        <v>48</v>
      </c>
      <c r="H74" s="60" t="s">
        <v>25</v>
      </c>
      <c r="I74" s="60" t="s">
        <v>26</v>
      </c>
      <c r="J74" s="79" t="s">
        <v>143</v>
      </c>
    </row>
    <row r="75" spans="1:10" ht="15.75" customHeight="1" x14ac:dyDescent="0.3">
      <c r="A75" s="75" t="s">
        <v>326</v>
      </c>
      <c r="B75" s="61" t="s">
        <v>36</v>
      </c>
      <c r="C75" s="61" t="s">
        <v>45</v>
      </c>
      <c r="D75" s="62">
        <v>9687833918</v>
      </c>
      <c r="E75" s="61" t="s">
        <v>328</v>
      </c>
      <c r="F75" s="96" t="s">
        <v>1511</v>
      </c>
      <c r="G75" s="62" t="s">
        <v>54</v>
      </c>
      <c r="H75" s="62" t="s">
        <v>125</v>
      </c>
      <c r="I75" s="62" t="s">
        <v>26</v>
      </c>
      <c r="J75" s="80" t="s">
        <v>51</v>
      </c>
    </row>
    <row r="76" spans="1:10" ht="15.75" customHeight="1" x14ac:dyDescent="0.3">
      <c r="A76" s="72" t="s">
        <v>330</v>
      </c>
      <c r="B76" s="53" t="s">
        <v>29</v>
      </c>
      <c r="C76" s="53" t="s">
        <v>62</v>
      </c>
      <c r="D76" s="54">
        <v>9718707286</v>
      </c>
      <c r="E76" s="53" t="s">
        <v>332</v>
      </c>
      <c r="F76" s="93" t="s">
        <v>1527</v>
      </c>
      <c r="G76" s="54" t="s">
        <v>16</v>
      </c>
      <c r="H76" s="54" t="s">
        <v>49</v>
      </c>
      <c r="I76" s="54" t="s">
        <v>26</v>
      </c>
      <c r="J76" s="77" t="s">
        <v>19</v>
      </c>
    </row>
    <row r="77" spans="1:10" ht="15.75" customHeight="1" x14ac:dyDescent="0.3">
      <c r="A77" s="72" t="s">
        <v>333</v>
      </c>
      <c r="B77" s="53" t="s">
        <v>202</v>
      </c>
      <c r="C77" s="53" t="s">
        <v>62</v>
      </c>
      <c r="D77" s="54"/>
      <c r="E77" s="53" t="s">
        <v>334</v>
      </c>
      <c r="F77" s="93" t="s">
        <v>1590</v>
      </c>
      <c r="G77" s="54" t="s">
        <v>16</v>
      </c>
      <c r="H77" s="54" t="s">
        <v>42</v>
      </c>
      <c r="I77" s="54" t="s">
        <v>26</v>
      </c>
      <c r="J77" s="77" t="s">
        <v>106</v>
      </c>
    </row>
    <row r="78" spans="1:10" ht="15.75" customHeight="1" x14ac:dyDescent="0.3">
      <c r="A78" s="76" t="s">
        <v>335</v>
      </c>
      <c r="B78" s="57" t="s">
        <v>134</v>
      </c>
      <c r="C78" s="57"/>
      <c r="D78" s="58">
        <v>9682300478</v>
      </c>
      <c r="E78" s="57" t="s">
        <v>337</v>
      </c>
      <c r="F78" s="97" t="s">
        <v>1538</v>
      </c>
      <c r="G78" s="58" t="s">
        <v>111</v>
      </c>
      <c r="H78" s="58" t="s">
        <v>65</v>
      </c>
      <c r="I78" s="58" t="s">
        <v>18</v>
      </c>
      <c r="J78" s="81"/>
    </row>
    <row r="79" spans="1:10" ht="15.75" customHeight="1" x14ac:dyDescent="0.3">
      <c r="A79" s="75" t="s">
        <v>338</v>
      </c>
      <c r="B79" s="61" t="s">
        <v>193</v>
      </c>
      <c r="C79" s="61" t="s">
        <v>37</v>
      </c>
      <c r="D79" s="62">
        <v>9079030673</v>
      </c>
      <c r="E79" s="61" t="s">
        <v>340</v>
      </c>
      <c r="F79" s="96" t="s">
        <v>1602</v>
      </c>
      <c r="G79" s="62" t="s">
        <v>54</v>
      </c>
      <c r="H79" s="62" t="s">
        <v>17</v>
      </c>
      <c r="I79" s="62" t="s">
        <v>18</v>
      </c>
      <c r="J79" s="80" t="s">
        <v>51</v>
      </c>
    </row>
    <row r="80" spans="1:10" ht="15.75" customHeight="1" x14ac:dyDescent="0.3">
      <c r="A80" s="73" t="s">
        <v>341</v>
      </c>
      <c r="B80" s="55" t="s">
        <v>597</v>
      </c>
      <c r="C80" s="55" t="s">
        <v>62</v>
      </c>
      <c r="D80" s="56">
        <v>9364408926</v>
      </c>
      <c r="E80" s="55" t="s">
        <v>344</v>
      </c>
      <c r="F80" s="94" t="s">
        <v>1560</v>
      </c>
      <c r="G80" s="56" t="s">
        <v>79</v>
      </c>
      <c r="H80" s="56" t="s">
        <v>42</v>
      </c>
      <c r="I80" s="56" t="s">
        <v>26</v>
      </c>
      <c r="J80" s="78" t="s">
        <v>34</v>
      </c>
    </row>
    <row r="81" spans="1:10" ht="15.75" customHeight="1" x14ac:dyDescent="0.3">
      <c r="A81" s="75" t="s">
        <v>346</v>
      </c>
      <c r="B81" s="61" t="s">
        <v>11</v>
      </c>
      <c r="C81" s="61" t="s">
        <v>119</v>
      </c>
      <c r="D81" s="62">
        <v>9342708668</v>
      </c>
      <c r="E81" s="61"/>
      <c r="F81" s="96" t="s">
        <v>1582</v>
      </c>
      <c r="G81" s="62" t="s">
        <v>54</v>
      </c>
      <c r="H81" s="62" t="s">
        <v>65</v>
      </c>
      <c r="I81" s="62" t="s">
        <v>26</v>
      </c>
      <c r="J81" s="80" t="s">
        <v>51</v>
      </c>
    </row>
    <row r="82" spans="1:10" ht="15.75" customHeight="1" x14ac:dyDescent="0.3">
      <c r="A82" s="75" t="s">
        <v>349</v>
      </c>
      <c r="B82" s="61" t="s">
        <v>202</v>
      </c>
      <c r="C82" s="61" t="s">
        <v>22</v>
      </c>
      <c r="D82" s="62">
        <v>9469901398</v>
      </c>
      <c r="E82" s="61" t="s">
        <v>351</v>
      </c>
      <c r="F82" s="96" t="s">
        <v>1579</v>
      </c>
      <c r="G82" s="62" t="s">
        <v>54</v>
      </c>
      <c r="H82" s="62" t="s">
        <v>65</v>
      </c>
      <c r="I82" s="62" t="s">
        <v>26</v>
      </c>
      <c r="J82" s="80" t="s">
        <v>91</v>
      </c>
    </row>
    <row r="83" spans="1:10" ht="15.75" customHeight="1" x14ac:dyDescent="0.3">
      <c r="A83" s="75" t="s">
        <v>353</v>
      </c>
      <c r="B83" s="61" t="s">
        <v>597</v>
      </c>
      <c r="C83" s="61" t="s">
        <v>119</v>
      </c>
      <c r="D83" s="62">
        <v>9854678544</v>
      </c>
      <c r="E83" s="61" t="s">
        <v>356</v>
      </c>
      <c r="F83" s="96" t="s">
        <v>1521</v>
      </c>
      <c r="G83" s="62" t="s">
        <v>54</v>
      </c>
      <c r="H83" s="62" t="s">
        <v>42</v>
      </c>
      <c r="I83" s="62" t="s">
        <v>18</v>
      </c>
      <c r="J83" s="80" t="s">
        <v>19</v>
      </c>
    </row>
    <row r="84" spans="1:10" ht="15.75" customHeight="1" x14ac:dyDescent="0.3">
      <c r="A84" s="72" t="s">
        <v>358</v>
      </c>
      <c r="B84" s="53" t="s">
        <v>134</v>
      </c>
      <c r="C84" s="53" t="s">
        <v>45</v>
      </c>
      <c r="D84" s="54">
        <v>9642353693</v>
      </c>
      <c r="E84" s="53" t="s">
        <v>360</v>
      </c>
      <c r="F84" s="93" t="s">
        <v>1542</v>
      </c>
      <c r="G84" s="54" t="s">
        <v>16</v>
      </c>
      <c r="H84" s="54" t="s">
        <v>17</v>
      </c>
      <c r="I84" s="54" t="s">
        <v>26</v>
      </c>
      <c r="J84" s="77" t="s">
        <v>143</v>
      </c>
    </row>
    <row r="85" spans="1:10" ht="15.75" customHeight="1" x14ac:dyDescent="0.3">
      <c r="A85" s="72" t="s">
        <v>362</v>
      </c>
      <c r="B85" s="53" t="s">
        <v>36</v>
      </c>
      <c r="C85" s="53" t="s">
        <v>45</v>
      </c>
      <c r="D85" s="54"/>
      <c r="E85" s="53" t="s">
        <v>363</v>
      </c>
      <c r="F85" s="93" t="s">
        <v>1590</v>
      </c>
      <c r="G85" s="54" t="s">
        <v>16</v>
      </c>
      <c r="H85" s="54" t="s">
        <v>49</v>
      </c>
      <c r="I85" s="54" t="s">
        <v>18</v>
      </c>
      <c r="J85" s="77" t="s">
        <v>27</v>
      </c>
    </row>
    <row r="86" spans="1:10" ht="15.75" customHeight="1" x14ac:dyDescent="0.3">
      <c r="A86" s="72" t="s">
        <v>365</v>
      </c>
      <c r="B86" s="53" t="s">
        <v>206</v>
      </c>
      <c r="C86" s="53"/>
      <c r="D86" s="54">
        <v>9840862118</v>
      </c>
      <c r="E86" s="53" t="s">
        <v>367</v>
      </c>
      <c r="F86" s="93" t="s">
        <v>1555</v>
      </c>
      <c r="G86" s="54" t="s">
        <v>16</v>
      </c>
      <c r="H86" s="54" t="s">
        <v>1619</v>
      </c>
      <c r="I86" s="54" t="s">
        <v>26</v>
      </c>
      <c r="J86" s="77" t="s">
        <v>91</v>
      </c>
    </row>
    <row r="87" spans="1:10" ht="15.75" customHeight="1" x14ac:dyDescent="0.3">
      <c r="A87" s="72" t="s">
        <v>369</v>
      </c>
      <c r="B87" s="53" t="s">
        <v>597</v>
      </c>
      <c r="C87" s="53"/>
      <c r="D87" s="54"/>
      <c r="E87" s="53" t="s">
        <v>370</v>
      </c>
      <c r="F87" s="93" t="s">
        <v>1567</v>
      </c>
      <c r="G87" s="54" t="s">
        <v>16</v>
      </c>
      <c r="H87" s="54" t="s">
        <v>49</v>
      </c>
      <c r="I87" s="54" t="s">
        <v>26</v>
      </c>
      <c r="J87" s="77" t="s">
        <v>19</v>
      </c>
    </row>
    <row r="88" spans="1:10" ht="15.75" customHeight="1" x14ac:dyDescent="0.3">
      <c r="A88" s="76" t="s">
        <v>372</v>
      </c>
      <c r="B88" s="57" t="s">
        <v>29</v>
      </c>
      <c r="C88" s="57"/>
      <c r="D88" s="58">
        <v>9489025039</v>
      </c>
      <c r="E88" s="57" t="s">
        <v>374</v>
      </c>
      <c r="F88" s="97" t="s">
        <v>1535</v>
      </c>
      <c r="G88" s="58" t="s">
        <v>111</v>
      </c>
      <c r="H88" s="58" t="s">
        <v>42</v>
      </c>
      <c r="I88" s="58" t="s">
        <v>26</v>
      </c>
      <c r="J88" s="81" t="s">
        <v>27</v>
      </c>
    </row>
    <row r="89" spans="1:10" ht="15.75" customHeight="1" x14ac:dyDescent="0.3">
      <c r="A89" s="72" t="s">
        <v>375</v>
      </c>
      <c r="B89" s="53" t="s">
        <v>157</v>
      </c>
      <c r="C89" s="53" t="s">
        <v>22</v>
      </c>
      <c r="D89" s="54"/>
      <c r="E89" s="53" t="s">
        <v>376</v>
      </c>
      <c r="F89" s="93" t="s">
        <v>1593</v>
      </c>
      <c r="G89" s="54" t="s">
        <v>16</v>
      </c>
      <c r="H89" s="54" t="s">
        <v>17</v>
      </c>
      <c r="I89" s="54" t="s">
        <v>18</v>
      </c>
      <c r="J89" s="77"/>
    </row>
    <row r="90" spans="1:10" ht="15.75" customHeight="1" x14ac:dyDescent="0.3">
      <c r="A90" s="73" t="s">
        <v>378</v>
      </c>
      <c r="B90" s="55" t="s">
        <v>11</v>
      </c>
      <c r="C90" s="55" t="s">
        <v>62</v>
      </c>
      <c r="D90" s="56"/>
      <c r="E90" s="55"/>
      <c r="F90" s="94" t="s">
        <v>1566</v>
      </c>
      <c r="G90" s="56" t="s">
        <v>79</v>
      </c>
      <c r="H90" s="56" t="s">
        <v>49</v>
      </c>
      <c r="I90" s="56" t="s">
        <v>18</v>
      </c>
      <c r="J90" s="78" t="s">
        <v>91</v>
      </c>
    </row>
    <row r="91" spans="1:10" ht="15.75" customHeight="1" x14ac:dyDescent="0.3">
      <c r="A91" s="72" t="s">
        <v>380</v>
      </c>
      <c r="B91" s="53" t="s">
        <v>157</v>
      </c>
      <c r="C91" s="53"/>
      <c r="D91" s="54">
        <v>9267888610</v>
      </c>
      <c r="E91" s="53"/>
      <c r="F91" s="93" t="s">
        <v>1581</v>
      </c>
      <c r="G91" s="54" t="s">
        <v>16</v>
      </c>
      <c r="H91" s="54" t="s">
        <v>1619</v>
      </c>
      <c r="I91" s="54" t="s">
        <v>26</v>
      </c>
      <c r="J91" s="77"/>
    </row>
    <row r="92" spans="1:10" ht="15.75" customHeight="1" x14ac:dyDescent="0.3">
      <c r="A92" s="72" t="s">
        <v>383</v>
      </c>
      <c r="B92" s="53" t="s">
        <v>202</v>
      </c>
      <c r="C92" s="53" t="s">
        <v>22</v>
      </c>
      <c r="D92" s="54">
        <v>9826224447</v>
      </c>
      <c r="E92" s="53"/>
      <c r="F92" s="93" t="s">
        <v>1556</v>
      </c>
      <c r="G92" s="54" t="s">
        <v>16</v>
      </c>
      <c r="H92" s="54" t="s">
        <v>65</v>
      </c>
      <c r="I92" s="54" t="s">
        <v>18</v>
      </c>
      <c r="J92" s="77" t="s">
        <v>34</v>
      </c>
    </row>
    <row r="93" spans="1:10" ht="15.75" customHeight="1" x14ac:dyDescent="0.3">
      <c r="A93" s="74" t="s">
        <v>386</v>
      </c>
      <c r="B93" s="59" t="s">
        <v>597</v>
      </c>
      <c r="C93" s="59" t="s">
        <v>22</v>
      </c>
      <c r="D93" s="60">
        <v>9124065965</v>
      </c>
      <c r="E93" s="59" t="s">
        <v>388</v>
      </c>
      <c r="F93" s="95" t="s">
        <v>1581</v>
      </c>
      <c r="G93" s="60" t="s">
        <v>48</v>
      </c>
      <c r="H93" s="60" t="s">
        <v>25</v>
      </c>
      <c r="I93" s="60" t="s">
        <v>26</v>
      </c>
      <c r="J93" s="79" t="s">
        <v>51</v>
      </c>
    </row>
    <row r="94" spans="1:10" ht="15.75" customHeight="1" x14ac:dyDescent="0.3">
      <c r="A94" s="72" t="s">
        <v>390</v>
      </c>
      <c r="B94" s="53" t="s">
        <v>134</v>
      </c>
      <c r="C94" s="53" t="s">
        <v>12</v>
      </c>
      <c r="D94" s="54">
        <v>9935646519</v>
      </c>
      <c r="E94" s="53" t="s">
        <v>136</v>
      </c>
      <c r="F94" s="93" t="s">
        <v>1548</v>
      </c>
      <c r="G94" s="54" t="s">
        <v>16</v>
      </c>
      <c r="H94" s="54" t="s">
        <v>25</v>
      </c>
      <c r="I94" s="54" t="s">
        <v>26</v>
      </c>
      <c r="J94" s="77" t="s">
        <v>34</v>
      </c>
    </row>
    <row r="95" spans="1:10" ht="15.75" customHeight="1" x14ac:dyDescent="0.3">
      <c r="A95" s="73" t="s">
        <v>393</v>
      </c>
      <c r="B95" s="55" t="s">
        <v>202</v>
      </c>
      <c r="C95" s="55" t="s">
        <v>22</v>
      </c>
      <c r="D95" s="56">
        <v>9342661797</v>
      </c>
      <c r="E95" s="55" t="s">
        <v>395</v>
      </c>
      <c r="F95" s="94" t="s">
        <v>1520</v>
      </c>
      <c r="G95" s="56" t="s">
        <v>79</v>
      </c>
      <c r="H95" s="56" t="s">
        <v>65</v>
      </c>
      <c r="I95" s="56" t="s">
        <v>18</v>
      </c>
      <c r="J95" s="78" t="s">
        <v>19</v>
      </c>
    </row>
    <row r="96" spans="1:10" ht="15.75" customHeight="1" x14ac:dyDescent="0.3">
      <c r="A96" s="73" t="s">
        <v>397</v>
      </c>
      <c r="B96" s="55" t="s">
        <v>157</v>
      </c>
      <c r="C96" s="55" t="s">
        <v>37</v>
      </c>
      <c r="D96" s="56"/>
      <c r="E96" s="55" t="s">
        <v>398</v>
      </c>
      <c r="F96" s="94" t="s">
        <v>1604</v>
      </c>
      <c r="G96" s="56" t="s">
        <v>79</v>
      </c>
      <c r="H96" s="56" t="s">
        <v>125</v>
      </c>
      <c r="I96" s="56" t="s">
        <v>18</v>
      </c>
      <c r="J96" s="78" t="s">
        <v>66</v>
      </c>
    </row>
    <row r="97" spans="1:10" ht="15.75" customHeight="1" x14ac:dyDescent="0.3">
      <c r="A97" s="73" t="s">
        <v>400</v>
      </c>
      <c r="B97" s="55" t="s">
        <v>29</v>
      </c>
      <c r="C97" s="55" t="s">
        <v>37</v>
      </c>
      <c r="D97" s="56">
        <v>9254573875</v>
      </c>
      <c r="E97" s="55"/>
      <c r="F97" s="94" t="s">
        <v>1559</v>
      </c>
      <c r="G97" s="56" t="s">
        <v>79</v>
      </c>
      <c r="H97" s="56" t="s">
        <v>1619</v>
      </c>
      <c r="I97" s="56" t="s">
        <v>18</v>
      </c>
      <c r="J97" s="78" t="s">
        <v>106</v>
      </c>
    </row>
    <row r="98" spans="1:10" ht="15.75" customHeight="1" x14ac:dyDescent="0.3">
      <c r="A98" s="72" t="s">
        <v>402</v>
      </c>
      <c r="B98" s="53" t="s">
        <v>153</v>
      </c>
      <c r="C98" s="53" t="s">
        <v>62</v>
      </c>
      <c r="D98" s="54">
        <v>9382825867</v>
      </c>
      <c r="E98" s="53" t="s">
        <v>404</v>
      </c>
      <c r="F98" s="93" t="s">
        <v>1595</v>
      </c>
      <c r="G98" s="54" t="s">
        <v>16</v>
      </c>
      <c r="H98" s="54" t="s">
        <v>1619</v>
      </c>
      <c r="I98" s="54" t="s">
        <v>18</v>
      </c>
      <c r="J98" s="77" t="s">
        <v>19</v>
      </c>
    </row>
    <row r="99" spans="1:10" ht="15.75" customHeight="1" x14ac:dyDescent="0.3">
      <c r="A99" s="72" t="s">
        <v>406</v>
      </c>
      <c r="B99" s="53" t="s">
        <v>29</v>
      </c>
      <c r="C99" s="53" t="s">
        <v>62</v>
      </c>
      <c r="D99" s="54">
        <v>9341918255</v>
      </c>
      <c r="E99" s="53" t="s">
        <v>408</v>
      </c>
      <c r="F99" s="93" t="s">
        <v>1569</v>
      </c>
      <c r="G99" s="54" t="s">
        <v>16</v>
      </c>
      <c r="H99" s="54" t="s">
        <v>65</v>
      </c>
      <c r="I99" s="54" t="s">
        <v>18</v>
      </c>
      <c r="J99" s="77" t="s">
        <v>51</v>
      </c>
    </row>
    <row r="100" spans="1:10" ht="15.75" customHeight="1" x14ac:dyDescent="0.3">
      <c r="A100" s="76" t="s">
        <v>410</v>
      </c>
      <c r="B100" s="57" t="s">
        <v>36</v>
      </c>
      <c r="C100" s="57" t="s">
        <v>62</v>
      </c>
      <c r="D100" s="58">
        <v>9991251341</v>
      </c>
      <c r="E100" s="57"/>
      <c r="F100" s="97" t="s">
        <v>1566</v>
      </c>
      <c r="G100" s="58" t="s">
        <v>111</v>
      </c>
      <c r="H100" s="58" t="s">
        <v>42</v>
      </c>
      <c r="I100" s="58" t="s">
        <v>26</v>
      </c>
      <c r="J100" s="81" t="s">
        <v>91</v>
      </c>
    </row>
    <row r="101" spans="1:10" ht="15.75" customHeight="1" x14ac:dyDescent="0.3">
      <c r="A101" s="72" t="s">
        <v>413</v>
      </c>
      <c r="B101" s="53" t="s">
        <v>134</v>
      </c>
      <c r="C101" s="53" t="s">
        <v>12</v>
      </c>
      <c r="D101" s="54">
        <v>9257905072</v>
      </c>
      <c r="E101" s="53" t="s">
        <v>415</v>
      </c>
      <c r="F101" s="93" t="s">
        <v>1530</v>
      </c>
      <c r="G101" s="54" t="s">
        <v>16</v>
      </c>
      <c r="H101" s="54" t="s">
        <v>42</v>
      </c>
      <c r="I101" s="54" t="s">
        <v>26</v>
      </c>
      <c r="J101" s="77" t="s">
        <v>91</v>
      </c>
    </row>
    <row r="102" spans="1:10" ht="15.75" customHeight="1" x14ac:dyDescent="0.3">
      <c r="A102" s="72" t="s">
        <v>417</v>
      </c>
      <c r="B102" s="53" t="s">
        <v>36</v>
      </c>
      <c r="C102" s="53"/>
      <c r="D102" s="54">
        <v>9340438427</v>
      </c>
      <c r="E102" s="53" t="s">
        <v>31</v>
      </c>
      <c r="F102" s="93" t="s">
        <v>1576</v>
      </c>
      <c r="G102" s="54" t="s">
        <v>16</v>
      </c>
      <c r="H102" s="54" t="s">
        <v>17</v>
      </c>
      <c r="I102" s="54" t="s">
        <v>18</v>
      </c>
      <c r="J102" s="77" t="s">
        <v>66</v>
      </c>
    </row>
    <row r="103" spans="1:10" ht="15.75" customHeight="1" x14ac:dyDescent="0.3">
      <c r="A103" s="76" t="s">
        <v>420</v>
      </c>
      <c r="B103" s="57" t="s">
        <v>36</v>
      </c>
      <c r="C103" s="57" t="s">
        <v>37</v>
      </c>
      <c r="D103" s="58">
        <v>9407451713</v>
      </c>
      <c r="E103" s="57" t="s">
        <v>422</v>
      </c>
      <c r="F103" s="97" t="s">
        <v>1509</v>
      </c>
      <c r="G103" s="58" t="s">
        <v>111</v>
      </c>
      <c r="H103" s="58" t="s">
        <v>25</v>
      </c>
      <c r="I103" s="58"/>
      <c r="J103" s="81" t="s">
        <v>19</v>
      </c>
    </row>
    <row r="104" spans="1:10" ht="15.75" customHeight="1" x14ac:dyDescent="0.3">
      <c r="A104" s="76" t="s">
        <v>424</v>
      </c>
      <c r="B104" s="57" t="s">
        <v>193</v>
      </c>
      <c r="C104" s="57" t="s">
        <v>12</v>
      </c>
      <c r="D104" s="58">
        <v>9825449481</v>
      </c>
      <c r="E104" s="57" t="s">
        <v>340</v>
      </c>
      <c r="F104" s="97" t="s">
        <v>1592</v>
      </c>
      <c r="G104" s="58" t="s">
        <v>111</v>
      </c>
      <c r="H104" s="58" t="s">
        <v>17</v>
      </c>
      <c r="I104" s="58"/>
      <c r="J104" s="81" t="s">
        <v>19</v>
      </c>
    </row>
    <row r="105" spans="1:10" ht="15.75" customHeight="1" x14ac:dyDescent="0.3">
      <c r="A105" s="73" t="s">
        <v>427</v>
      </c>
      <c r="B105" s="55" t="s">
        <v>206</v>
      </c>
      <c r="C105" s="55" t="s">
        <v>62</v>
      </c>
      <c r="D105" s="56">
        <v>9667116845</v>
      </c>
      <c r="E105" s="55" t="s">
        <v>199</v>
      </c>
      <c r="F105" s="94" t="s">
        <v>1534</v>
      </c>
      <c r="G105" s="56" t="s">
        <v>79</v>
      </c>
      <c r="H105" s="56" t="s">
        <v>42</v>
      </c>
      <c r="I105" s="56" t="s">
        <v>26</v>
      </c>
      <c r="J105" s="78"/>
    </row>
    <row r="106" spans="1:10" ht="15.75" customHeight="1" x14ac:dyDescent="0.3">
      <c r="A106" s="72" t="s">
        <v>430</v>
      </c>
      <c r="B106" s="53" t="s">
        <v>597</v>
      </c>
      <c r="C106" s="53"/>
      <c r="D106" s="54">
        <v>9589297500</v>
      </c>
      <c r="E106" s="53" t="s">
        <v>432</v>
      </c>
      <c r="F106" s="93" t="s">
        <v>1572</v>
      </c>
      <c r="G106" s="54" t="s">
        <v>16</v>
      </c>
      <c r="H106" s="54" t="s">
        <v>42</v>
      </c>
      <c r="I106" s="54" t="s">
        <v>26</v>
      </c>
      <c r="J106" s="77" t="s">
        <v>143</v>
      </c>
    </row>
    <row r="107" spans="1:10" ht="15.75" customHeight="1" x14ac:dyDescent="0.3">
      <c r="A107" s="72" t="s">
        <v>434</v>
      </c>
      <c r="B107" s="53" t="s">
        <v>227</v>
      </c>
      <c r="C107" s="53" t="s">
        <v>12</v>
      </c>
      <c r="D107" s="54">
        <v>9541520643</v>
      </c>
      <c r="E107" s="53" t="s">
        <v>436</v>
      </c>
      <c r="F107" s="93" t="s">
        <v>1522</v>
      </c>
      <c r="G107" s="54" t="s">
        <v>16</v>
      </c>
      <c r="H107" s="54" t="s">
        <v>25</v>
      </c>
      <c r="I107" s="54" t="s">
        <v>18</v>
      </c>
      <c r="J107" s="77" t="s">
        <v>91</v>
      </c>
    </row>
    <row r="108" spans="1:10" ht="15.75" customHeight="1" x14ac:dyDescent="0.3">
      <c r="A108" s="72" t="s">
        <v>438</v>
      </c>
      <c r="B108" s="53" t="s">
        <v>193</v>
      </c>
      <c r="C108" s="53"/>
      <c r="D108" s="54">
        <v>9627136111</v>
      </c>
      <c r="E108" s="53" t="s">
        <v>440</v>
      </c>
      <c r="F108" s="93" t="s">
        <v>1602</v>
      </c>
      <c r="G108" s="54" t="s">
        <v>16</v>
      </c>
      <c r="H108" s="54" t="s">
        <v>49</v>
      </c>
      <c r="I108" s="54" t="s">
        <v>18</v>
      </c>
      <c r="J108" s="77" t="s">
        <v>143</v>
      </c>
    </row>
    <row r="109" spans="1:10" ht="15.75" customHeight="1" x14ac:dyDescent="0.3">
      <c r="A109" s="74" t="s">
        <v>442</v>
      </c>
      <c r="B109" s="59" t="s">
        <v>29</v>
      </c>
      <c r="C109" s="59" t="s">
        <v>62</v>
      </c>
      <c r="D109" s="60"/>
      <c r="E109" s="59" t="s">
        <v>443</v>
      </c>
      <c r="F109" s="95" t="s">
        <v>1602</v>
      </c>
      <c r="G109" s="60" t="s">
        <v>48</v>
      </c>
      <c r="H109" s="60" t="s">
        <v>25</v>
      </c>
      <c r="I109" s="60" t="s">
        <v>18</v>
      </c>
      <c r="J109" s="79" t="s">
        <v>34</v>
      </c>
    </row>
    <row r="110" spans="1:10" ht="15.75" customHeight="1" x14ac:dyDescent="0.3">
      <c r="A110" s="73" t="s">
        <v>444</v>
      </c>
      <c r="B110" s="55" t="s">
        <v>193</v>
      </c>
      <c r="C110" s="55" t="s">
        <v>22</v>
      </c>
      <c r="D110" s="56">
        <v>9983640376</v>
      </c>
      <c r="E110" s="55" t="s">
        <v>446</v>
      </c>
      <c r="F110" s="94" t="s">
        <v>1569</v>
      </c>
      <c r="G110" s="56" t="s">
        <v>79</v>
      </c>
      <c r="H110" s="56" t="s">
        <v>125</v>
      </c>
      <c r="I110" s="56" t="s">
        <v>26</v>
      </c>
      <c r="J110" s="78"/>
    </row>
    <row r="111" spans="1:10" ht="15.75" customHeight="1" x14ac:dyDescent="0.3">
      <c r="A111" s="72" t="s">
        <v>448</v>
      </c>
      <c r="B111" s="53" t="s">
        <v>157</v>
      </c>
      <c r="C111" s="53"/>
      <c r="D111" s="54">
        <v>9091043006</v>
      </c>
      <c r="E111" s="53" t="s">
        <v>450</v>
      </c>
      <c r="F111" s="93" t="s">
        <v>1520</v>
      </c>
      <c r="G111" s="54" t="s">
        <v>16</v>
      </c>
      <c r="H111" s="54" t="s">
        <v>125</v>
      </c>
      <c r="I111" s="54" t="s">
        <v>18</v>
      </c>
      <c r="J111" s="77" t="s">
        <v>106</v>
      </c>
    </row>
    <row r="112" spans="1:10" ht="15.75" customHeight="1" x14ac:dyDescent="0.3">
      <c r="A112" s="72" t="s">
        <v>451</v>
      </c>
      <c r="B112" s="53" t="s">
        <v>227</v>
      </c>
      <c r="C112" s="53" t="s">
        <v>22</v>
      </c>
      <c r="D112" s="54">
        <v>9856914630</v>
      </c>
      <c r="E112" s="53"/>
      <c r="F112" s="93" t="s">
        <v>1556</v>
      </c>
      <c r="G112" s="54" t="s">
        <v>16</v>
      </c>
      <c r="H112" s="54" t="s">
        <v>49</v>
      </c>
      <c r="I112" s="54" t="s">
        <v>18</v>
      </c>
      <c r="J112" s="77" t="s">
        <v>143</v>
      </c>
    </row>
    <row r="113" spans="1:10" ht="15.75" customHeight="1" x14ac:dyDescent="0.3">
      <c r="A113" s="72" t="s">
        <v>454</v>
      </c>
      <c r="B113" s="53" t="s">
        <v>202</v>
      </c>
      <c r="C113" s="53" t="s">
        <v>62</v>
      </c>
      <c r="D113" s="54"/>
      <c r="E113" s="53" t="s">
        <v>455</v>
      </c>
      <c r="F113" s="93" t="s">
        <v>1593</v>
      </c>
      <c r="G113" s="54" t="s">
        <v>16</v>
      </c>
      <c r="H113" s="54" t="s">
        <v>65</v>
      </c>
      <c r="I113" s="54" t="s">
        <v>18</v>
      </c>
      <c r="J113" s="77" t="s">
        <v>106</v>
      </c>
    </row>
    <row r="114" spans="1:10" ht="15.75" customHeight="1" x14ac:dyDescent="0.3">
      <c r="A114" s="73" t="s">
        <v>456</v>
      </c>
      <c r="B114" s="55" t="s">
        <v>29</v>
      </c>
      <c r="C114" s="55" t="s">
        <v>37</v>
      </c>
      <c r="D114" s="56"/>
      <c r="E114" s="55"/>
      <c r="F114" s="94" t="s">
        <v>1582</v>
      </c>
      <c r="G114" s="56" t="s">
        <v>79</v>
      </c>
      <c r="H114" s="56" t="s">
        <v>42</v>
      </c>
      <c r="I114" s="56" t="s">
        <v>26</v>
      </c>
      <c r="J114" s="78" t="s">
        <v>143</v>
      </c>
    </row>
    <row r="115" spans="1:10" ht="15.75" customHeight="1" x14ac:dyDescent="0.3">
      <c r="A115" s="72" t="s">
        <v>458</v>
      </c>
      <c r="B115" s="53" t="s">
        <v>193</v>
      </c>
      <c r="C115" s="53" t="s">
        <v>62</v>
      </c>
      <c r="D115" s="54">
        <v>9353654195</v>
      </c>
      <c r="E115" s="53" t="s">
        <v>460</v>
      </c>
      <c r="F115" s="93" t="s">
        <v>1604</v>
      </c>
      <c r="G115" s="54" t="s">
        <v>16</v>
      </c>
      <c r="H115" s="54" t="s">
        <v>1619</v>
      </c>
      <c r="I115" s="54" t="s">
        <v>26</v>
      </c>
      <c r="J115" s="77" t="s">
        <v>34</v>
      </c>
    </row>
    <row r="116" spans="1:10" ht="15.75" customHeight="1" x14ac:dyDescent="0.3">
      <c r="A116" s="76" t="s">
        <v>462</v>
      </c>
      <c r="B116" s="57" t="s">
        <v>227</v>
      </c>
      <c r="C116" s="57"/>
      <c r="D116" s="58">
        <v>9053494937</v>
      </c>
      <c r="E116" s="57" t="s">
        <v>465</v>
      </c>
      <c r="F116" s="97" t="s">
        <v>1568</v>
      </c>
      <c r="G116" s="58" t="s">
        <v>111</v>
      </c>
      <c r="H116" s="58" t="s">
        <v>1619</v>
      </c>
      <c r="I116" s="58" t="s">
        <v>26</v>
      </c>
      <c r="J116" s="81" t="s">
        <v>66</v>
      </c>
    </row>
    <row r="117" spans="1:10" ht="15.75" customHeight="1" x14ac:dyDescent="0.3">
      <c r="A117" s="73" t="s">
        <v>467</v>
      </c>
      <c r="B117" s="55" t="s">
        <v>597</v>
      </c>
      <c r="C117" s="55"/>
      <c r="D117" s="56">
        <v>9506413836</v>
      </c>
      <c r="E117" s="55" t="s">
        <v>469</v>
      </c>
      <c r="F117" s="94" t="s">
        <v>1610</v>
      </c>
      <c r="G117" s="56" t="s">
        <v>79</v>
      </c>
      <c r="H117" s="56" t="s">
        <v>42</v>
      </c>
      <c r="I117" s="56" t="s">
        <v>26</v>
      </c>
      <c r="J117" s="78" t="s">
        <v>51</v>
      </c>
    </row>
    <row r="118" spans="1:10" ht="15.75" customHeight="1" x14ac:dyDescent="0.3">
      <c r="A118" s="73" t="s">
        <v>470</v>
      </c>
      <c r="B118" s="55" t="s">
        <v>29</v>
      </c>
      <c r="C118" s="55" t="s">
        <v>45</v>
      </c>
      <c r="D118" s="56">
        <v>9619906234</v>
      </c>
      <c r="E118" s="55" t="s">
        <v>374</v>
      </c>
      <c r="F118" s="94" t="s">
        <v>1559</v>
      </c>
      <c r="G118" s="56" t="s">
        <v>79</v>
      </c>
      <c r="H118" s="56" t="s">
        <v>25</v>
      </c>
      <c r="I118" s="56" t="s">
        <v>18</v>
      </c>
      <c r="J118" s="78" t="s">
        <v>19</v>
      </c>
    </row>
    <row r="119" spans="1:10" ht="15.75" customHeight="1" x14ac:dyDescent="0.3">
      <c r="A119" s="74" t="s">
        <v>473</v>
      </c>
      <c r="B119" s="59" t="s">
        <v>134</v>
      </c>
      <c r="C119" s="59"/>
      <c r="D119" s="60">
        <v>9277561853</v>
      </c>
      <c r="E119" s="59" t="s">
        <v>475</v>
      </c>
      <c r="F119" s="95" t="s">
        <v>1564</v>
      </c>
      <c r="G119" s="60" t="s">
        <v>48</v>
      </c>
      <c r="H119" s="60" t="s">
        <v>49</v>
      </c>
      <c r="I119" s="60" t="s">
        <v>26</v>
      </c>
      <c r="J119" s="79" t="s">
        <v>51</v>
      </c>
    </row>
    <row r="120" spans="1:10" ht="15.75" customHeight="1" x14ac:dyDescent="0.3">
      <c r="A120" s="72" t="s">
        <v>476</v>
      </c>
      <c r="B120" s="53" t="s">
        <v>134</v>
      </c>
      <c r="C120" s="53" t="s">
        <v>12</v>
      </c>
      <c r="D120" s="54"/>
      <c r="E120" s="53"/>
      <c r="F120" s="93" t="s">
        <v>1562</v>
      </c>
      <c r="G120" s="54" t="s">
        <v>16</v>
      </c>
      <c r="H120" s="54" t="s">
        <v>1619</v>
      </c>
      <c r="I120" s="54"/>
      <c r="J120" s="77" t="s">
        <v>19</v>
      </c>
    </row>
    <row r="121" spans="1:10" ht="15.75" customHeight="1" x14ac:dyDescent="0.3">
      <c r="A121" s="72" t="s">
        <v>478</v>
      </c>
      <c r="B121" s="53" t="s">
        <v>275</v>
      </c>
      <c r="C121" s="53" t="s">
        <v>12</v>
      </c>
      <c r="D121" s="54">
        <v>9994101372</v>
      </c>
      <c r="E121" s="53" t="s">
        <v>480</v>
      </c>
      <c r="F121" s="93" t="s">
        <v>1572</v>
      </c>
      <c r="G121" s="54" t="s">
        <v>16</v>
      </c>
      <c r="H121" s="54" t="s">
        <v>1619</v>
      </c>
      <c r="I121" s="54" t="s">
        <v>18</v>
      </c>
      <c r="J121" s="77"/>
    </row>
    <row r="122" spans="1:10" ht="15.75" customHeight="1" x14ac:dyDescent="0.3">
      <c r="A122" s="72" t="s">
        <v>482</v>
      </c>
      <c r="B122" s="53" t="s">
        <v>206</v>
      </c>
      <c r="C122" s="53"/>
      <c r="D122" s="54">
        <v>9253244720</v>
      </c>
      <c r="E122" s="53" t="s">
        <v>484</v>
      </c>
      <c r="F122" s="93" t="s">
        <v>1550</v>
      </c>
      <c r="G122" s="54" t="s">
        <v>16</v>
      </c>
      <c r="H122" s="54" t="s">
        <v>1619</v>
      </c>
      <c r="I122" s="54" t="s">
        <v>18</v>
      </c>
      <c r="J122" s="77"/>
    </row>
    <row r="123" spans="1:10" ht="15.75" customHeight="1" x14ac:dyDescent="0.3">
      <c r="A123" s="75" t="s">
        <v>486</v>
      </c>
      <c r="B123" s="61" t="s">
        <v>134</v>
      </c>
      <c r="C123" s="61"/>
      <c r="D123" s="62">
        <v>9380657875</v>
      </c>
      <c r="E123" s="61" t="s">
        <v>488</v>
      </c>
      <c r="F123" s="96" t="s">
        <v>1593</v>
      </c>
      <c r="G123" s="62" t="s">
        <v>54</v>
      </c>
      <c r="H123" s="62" t="s">
        <v>1619</v>
      </c>
      <c r="I123" s="62"/>
      <c r="J123" s="80" t="s">
        <v>34</v>
      </c>
    </row>
    <row r="124" spans="1:10" ht="15.75" customHeight="1" x14ac:dyDescent="0.3">
      <c r="A124" s="75" t="s">
        <v>489</v>
      </c>
      <c r="B124" s="61" t="s">
        <v>193</v>
      </c>
      <c r="C124" s="61"/>
      <c r="D124" s="62">
        <v>9321334803</v>
      </c>
      <c r="E124" s="61" t="s">
        <v>491</v>
      </c>
      <c r="F124" s="96" t="s">
        <v>1558</v>
      </c>
      <c r="G124" s="62" t="s">
        <v>54</v>
      </c>
      <c r="H124" s="62" t="s">
        <v>17</v>
      </c>
      <c r="I124" s="62" t="s">
        <v>18</v>
      </c>
      <c r="J124" s="80" t="s">
        <v>66</v>
      </c>
    </row>
    <row r="125" spans="1:10" ht="15.75" customHeight="1" x14ac:dyDescent="0.3">
      <c r="A125" s="73" t="s">
        <v>493</v>
      </c>
      <c r="B125" s="55" t="s">
        <v>157</v>
      </c>
      <c r="C125" s="55" t="s">
        <v>22</v>
      </c>
      <c r="D125" s="56">
        <v>9842701039</v>
      </c>
      <c r="E125" s="55"/>
      <c r="F125" s="94" t="s">
        <v>1526</v>
      </c>
      <c r="G125" s="56" t="s">
        <v>79</v>
      </c>
      <c r="H125" s="56" t="s">
        <v>25</v>
      </c>
      <c r="I125" s="56"/>
      <c r="J125" s="78" t="s">
        <v>143</v>
      </c>
    </row>
    <row r="126" spans="1:10" ht="15.75" customHeight="1" x14ac:dyDescent="0.3">
      <c r="A126" s="74" t="s">
        <v>496</v>
      </c>
      <c r="B126" s="59" t="s">
        <v>157</v>
      </c>
      <c r="C126" s="59"/>
      <c r="D126" s="60">
        <v>9002921851</v>
      </c>
      <c r="E126" s="59" t="s">
        <v>498</v>
      </c>
      <c r="F126" s="95" t="s">
        <v>1539</v>
      </c>
      <c r="G126" s="60" t="s">
        <v>48</v>
      </c>
      <c r="H126" s="60" t="s">
        <v>125</v>
      </c>
      <c r="I126" s="60" t="s">
        <v>26</v>
      </c>
      <c r="J126" s="79"/>
    </row>
    <row r="127" spans="1:10" ht="15.75" customHeight="1" x14ac:dyDescent="0.3">
      <c r="A127" s="73" t="s">
        <v>500</v>
      </c>
      <c r="B127" s="55" t="s">
        <v>29</v>
      </c>
      <c r="C127" s="55" t="s">
        <v>45</v>
      </c>
      <c r="D127" s="56"/>
      <c r="E127" s="55"/>
      <c r="F127" s="94" t="s">
        <v>1559</v>
      </c>
      <c r="G127" s="56" t="s">
        <v>79</v>
      </c>
      <c r="H127" s="56" t="s">
        <v>17</v>
      </c>
      <c r="I127" s="56"/>
      <c r="J127" s="78" t="s">
        <v>19</v>
      </c>
    </row>
    <row r="128" spans="1:10" ht="15.75" customHeight="1" x14ac:dyDescent="0.3">
      <c r="A128" s="73" t="s">
        <v>501</v>
      </c>
      <c r="B128" s="55" t="s">
        <v>202</v>
      </c>
      <c r="C128" s="55" t="s">
        <v>62</v>
      </c>
      <c r="D128" s="56">
        <v>9355215704</v>
      </c>
      <c r="E128" s="55"/>
      <c r="F128" s="94" t="s">
        <v>1542</v>
      </c>
      <c r="G128" s="56" t="s">
        <v>79</v>
      </c>
      <c r="H128" s="56" t="s">
        <v>1619</v>
      </c>
      <c r="I128" s="56" t="s">
        <v>26</v>
      </c>
      <c r="J128" s="78"/>
    </row>
    <row r="129" spans="1:10" ht="15.75" customHeight="1" x14ac:dyDescent="0.3">
      <c r="A129" s="72" t="s">
        <v>504</v>
      </c>
      <c r="B129" s="53" t="s">
        <v>134</v>
      </c>
      <c r="C129" s="53" t="s">
        <v>119</v>
      </c>
      <c r="D129" s="54"/>
      <c r="E129" s="53" t="s">
        <v>248</v>
      </c>
      <c r="F129" s="93" t="s">
        <v>1524</v>
      </c>
      <c r="G129" s="54" t="s">
        <v>16</v>
      </c>
      <c r="H129" s="54" t="s">
        <v>42</v>
      </c>
      <c r="I129" s="54" t="s">
        <v>26</v>
      </c>
      <c r="J129" s="77" t="s">
        <v>106</v>
      </c>
    </row>
    <row r="130" spans="1:10" ht="15.75" customHeight="1" x14ac:dyDescent="0.3">
      <c r="A130" s="74" t="s">
        <v>506</v>
      </c>
      <c r="B130" s="59" t="s">
        <v>202</v>
      </c>
      <c r="C130" s="59" t="s">
        <v>45</v>
      </c>
      <c r="D130" s="60">
        <v>9062962015</v>
      </c>
      <c r="E130" s="59" t="s">
        <v>508</v>
      </c>
      <c r="F130" s="95" t="s">
        <v>1540</v>
      </c>
      <c r="G130" s="60" t="s">
        <v>48</v>
      </c>
      <c r="H130" s="60" t="s">
        <v>65</v>
      </c>
      <c r="I130" s="60" t="s">
        <v>18</v>
      </c>
      <c r="J130" s="79"/>
    </row>
    <row r="131" spans="1:10" ht="15.75" customHeight="1" x14ac:dyDescent="0.3">
      <c r="A131" s="72" t="s">
        <v>510</v>
      </c>
      <c r="B131" s="53" t="s">
        <v>36</v>
      </c>
      <c r="C131" s="53"/>
      <c r="D131" s="54">
        <v>9614973103</v>
      </c>
      <c r="E131" s="53" t="s">
        <v>512</v>
      </c>
      <c r="F131" s="93" t="s">
        <v>1511</v>
      </c>
      <c r="G131" s="54" t="s">
        <v>16</v>
      </c>
      <c r="H131" s="54" t="s">
        <v>72</v>
      </c>
      <c r="I131" s="54" t="s">
        <v>18</v>
      </c>
      <c r="J131" s="77" t="s">
        <v>27</v>
      </c>
    </row>
    <row r="132" spans="1:10" ht="15.75" customHeight="1" x14ac:dyDescent="0.3">
      <c r="A132" s="72" t="s">
        <v>514</v>
      </c>
      <c r="B132" s="53" t="s">
        <v>11</v>
      </c>
      <c r="C132" s="53" t="s">
        <v>119</v>
      </c>
      <c r="D132" s="54">
        <v>9270477434</v>
      </c>
      <c r="E132" s="53"/>
      <c r="F132" s="93" t="s">
        <v>1559</v>
      </c>
      <c r="G132" s="54" t="s">
        <v>16</v>
      </c>
      <c r="H132" s="54" t="s">
        <v>42</v>
      </c>
      <c r="I132" s="54"/>
      <c r="J132" s="77" t="s">
        <v>19</v>
      </c>
    </row>
    <row r="133" spans="1:10" ht="15.75" customHeight="1" x14ac:dyDescent="0.3">
      <c r="A133" s="72" t="s">
        <v>516</v>
      </c>
      <c r="B133" s="53" t="s">
        <v>193</v>
      </c>
      <c r="C133" s="53" t="s">
        <v>119</v>
      </c>
      <c r="D133" s="54">
        <v>9793741608</v>
      </c>
      <c r="E133" s="53" t="s">
        <v>518</v>
      </c>
      <c r="F133" s="93" t="s">
        <v>1549</v>
      </c>
      <c r="G133" s="54" t="s">
        <v>16</v>
      </c>
      <c r="H133" s="54" t="s">
        <v>83</v>
      </c>
      <c r="I133" s="54" t="s">
        <v>26</v>
      </c>
      <c r="J133" s="77" t="s">
        <v>143</v>
      </c>
    </row>
    <row r="134" spans="1:10" ht="15.75" customHeight="1" x14ac:dyDescent="0.3">
      <c r="A134" s="73" t="s">
        <v>520</v>
      </c>
      <c r="B134" s="55" t="s">
        <v>597</v>
      </c>
      <c r="C134" s="55" t="s">
        <v>119</v>
      </c>
      <c r="D134" s="56">
        <v>9632945116</v>
      </c>
      <c r="E134" s="55" t="s">
        <v>522</v>
      </c>
      <c r="F134" s="94" t="s">
        <v>1547</v>
      </c>
      <c r="G134" s="56" t="s">
        <v>79</v>
      </c>
      <c r="H134" s="56" t="s">
        <v>42</v>
      </c>
      <c r="I134" s="56" t="s">
        <v>18</v>
      </c>
      <c r="J134" s="78"/>
    </row>
    <row r="135" spans="1:10" ht="15.75" customHeight="1" x14ac:dyDescent="0.3">
      <c r="A135" s="72" t="s">
        <v>524</v>
      </c>
      <c r="B135" s="53" t="s">
        <v>275</v>
      </c>
      <c r="C135" s="53" t="s">
        <v>45</v>
      </c>
      <c r="D135" s="54"/>
      <c r="E135" s="53" t="s">
        <v>525</v>
      </c>
      <c r="F135" s="93" t="s">
        <v>1558</v>
      </c>
      <c r="G135" s="54" t="s">
        <v>16</v>
      </c>
      <c r="H135" s="54" t="s">
        <v>42</v>
      </c>
      <c r="I135" s="54" t="s">
        <v>18</v>
      </c>
      <c r="J135" s="77"/>
    </row>
    <row r="136" spans="1:10" ht="15.75" customHeight="1" x14ac:dyDescent="0.3">
      <c r="A136" s="74" t="s">
        <v>520</v>
      </c>
      <c r="B136" s="59" t="s">
        <v>157</v>
      </c>
      <c r="C136" s="59"/>
      <c r="D136" s="60"/>
      <c r="E136" s="59" t="s">
        <v>527</v>
      </c>
      <c r="F136" s="95" t="s">
        <v>1514</v>
      </c>
      <c r="G136" s="60" t="s">
        <v>48</v>
      </c>
      <c r="H136" s="60" t="s">
        <v>65</v>
      </c>
      <c r="I136" s="60" t="s">
        <v>26</v>
      </c>
      <c r="J136" s="79" t="s">
        <v>91</v>
      </c>
    </row>
    <row r="137" spans="1:10" ht="15.75" customHeight="1" x14ac:dyDescent="0.3">
      <c r="A137" s="75" t="s">
        <v>528</v>
      </c>
      <c r="B137" s="61" t="s">
        <v>597</v>
      </c>
      <c r="C137" s="61"/>
      <c r="D137" s="62"/>
      <c r="E137" s="61" t="s">
        <v>529</v>
      </c>
      <c r="F137" s="96" t="s">
        <v>1558</v>
      </c>
      <c r="G137" s="62" t="s">
        <v>54</v>
      </c>
      <c r="H137" s="62" t="s">
        <v>25</v>
      </c>
      <c r="I137" s="62" t="s">
        <v>18</v>
      </c>
      <c r="J137" s="80" t="s">
        <v>91</v>
      </c>
    </row>
    <row r="138" spans="1:10" ht="15.75" customHeight="1" x14ac:dyDescent="0.3">
      <c r="A138" s="73" t="s">
        <v>530</v>
      </c>
      <c r="B138" s="55" t="s">
        <v>153</v>
      </c>
      <c r="C138" s="55" t="s">
        <v>12</v>
      </c>
      <c r="D138" s="56">
        <v>9786103579</v>
      </c>
      <c r="E138" s="55" t="s">
        <v>532</v>
      </c>
      <c r="F138" s="94" t="s">
        <v>1548</v>
      </c>
      <c r="G138" s="56" t="s">
        <v>79</v>
      </c>
      <c r="H138" s="56" t="s">
        <v>72</v>
      </c>
      <c r="I138" s="56" t="s">
        <v>26</v>
      </c>
      <c r="J138" s="78" t="s">
        <v>106</v>
      </c>
    </row>
    <row r="139" spans="1:10" ht="15.75" customHeight="1" x14ac:dyDescent="0.3">
      <c r="A139" s="74" t="s">
        <v>533</v>
      </c>
      <c r="B139" s="59" t="s">
        <v>227</v>
      </c>
      <c r="C139" s="59" t="s">
        <v>22</v>
      </c>
      <c r="D139" s="60">
        <v>9333346800</v>
      </c>
      <c r="E139" s="59" t="s">
        <v>535</v>
      </c>
      <c r="F139" s="95" t="s">
        <v>1582</v>
      </c>
      <c r="G139" s="60" t="s">
        <v>48</v>
      </c>
      <c r="H139" s="60" t="s">
        <v>72</v>
      </c>
      <c r="I139" s="60" t="s">
        <v>26</v>
      </c>
      <c r="J139" s="79" t="s">
        <v>34</v>
      </c>
    </row>
    <row r="140" spans="1:10" ht="15.75" customHeight="1" x14ac:dyDescent="0.3">
      <c r="A140" s="74" t="s">
        <v>536</v>
      </c>
      <c r="B140" s="59" t="s">
        <v>206</v>
      </c>
      <c r="C140" s="59" t="s">
        <v>119</v>
      </c>
      <c r="D140" s="60">
        <v>9374896910</v>
      </c>
      <c r="E140" s="59" t="s">
        <v>538</v>
      </c>
      <c r="F140" s="95" t="s">
        <v>1554</v>
      </c>
      <c r="G140" s="60" t="s">
        <v>48</v>
      </c>
      <c r="H140" s="60" t="s">
        <v>83</v>
      </c>
      <c r="I140" s="60" t="s">
        <v>18</v>
      </c>
      <c r="J140" s="79" t="s">
        <v>51</v>
      </c>
    </row>
    <row r="141" spans="1:10" ht="15.75" customHeight="1" x14ac:dyDescent="0.3">
      <c r="A141" s="74" t="s">
        <v>540</v>
      </c>
      <c r="B141" s="59" t="s">
        <v>227</v>
      </c>
      <c r="C141" s="59" t="s">
        <v>12</v>
      </c>
      <c r="D141" s="60"/>
      <c r="E141" s="59"/>
      <c r="F141" s="95" t="s">
        <v>1550</v>
      </c>
      <c r="G141" s="60" t="s">
        <v>48</v>
      </c>
      <c r="H141" s="60" t="s">
        <v>42</v>
      </c>
      <c r="I141" s="60" t="s">
        <v>26</v>
      </c>
      <c r="J141" s="79" t="s">
        <v>66</v>
      </c>
    </row>
    <row r="142" spans="1:10" ht="15.75" customHeight="1" x14ac:dyDescent="0.3">
      <c r="A142" s="73" t="s">
        <v>541</v>
      </c>
      <c r="B142" s="55" t="s">
        <v>597</v>
      </c>
      <c r="C142" s="55" t="s">
        <v>22</v>
      </c>
      <c r="D142" s="56">
        <v>9758428241</v>
      </c>
      <c r="E142" s="55"/>
      <c r="F142" s="94" t="s">
        <v>1526</v>
      </c>
      <c r="G142" s="56" t="s">
        <v>79</v>
      </c>
      <c r="H142" s="56" t="s">
        <v>25</v>
      </c>
      <c r="I142" s="56" t="s">
        <v>18</v>
      </c>
      <c r="J142" s="78" t="s">
        <v>19</v>
      </c>
    </row>
    <row r="143" spans="1:10" ht="15.75" customHeight="1" x14ac:dyDescent="0.3">
      <c r="A143" s="72" t="s">
        <v>264</v>
      </c>
      <c r="B143" s="53" t="s">
        <v>227</v>
      </c>
      <c r="C143" s="53" t="s">
        <v>12</v>
      </c>
      <c r="D143" s="54">
        <v>9494717099</v>
      </c>
      <c r="E143" s="53"/>
      <c r="F143" s="93" t="s">
        <v>1589</v>
      </c>
      <c r="G143" s="54" t="s">
        <v>16</v>
      </c>
      <c r="H143" s="54" t="s">
        <v>42</v>
      </c>
      <c r="I143" s="54" t="s">
        <v>18</v>
      </c>
      <c r="J143" s="77" t="s">
        <v>143</v>
      </c>
    </row>
    <row r="144" spans="1:10" ht="15.75" customHeight="1" x14ac:dyDescent="0.3">
      <c r="A144" s="72" t="s">
        <v>546</v>
      </c>
      <c r="B144" s="53" t="s">
        <v>275</v>
      </c>
      <c r="C144" s="53" t="s">
        <v>45</v>
      </c>
      <c r="D144" s="54">
        <v>9252175250</v>
      </c>
      <c r="E144" s="53" t="s">
        <v>548</v>
      </c>
      <c r="F144" s="93" t="s">
        <v>1557</v>
      </c>
      <c r="G144" s="54" t="s">
        <v>16</v>
      </c>
      <c r="H144" s="54" t="s">
        <v>65</v>
      </c>
      <c r="I144" s="54" t="s">
        <v>26</v>
      </c>
      <c r="J144" s="77"/>
    </row>
    <row r="145" spans="1:10" ht="15.75" customHeight="1" x14ac:dyDescent="0.3">
      <c r="A145" s="74" t="s">
        <v>550</v>
      </c>
      <c r="B145" s="59" t="s">
        <v>206</v>
      </c>
      <c r="C145" s="59" t="s">
        <v>119</v>
      </c>
      <c r="D145" s="60">
        <v>9008350583</v>
      </c>
      <c r="E145" s="59" t="s">
        <v>552</v>
      </c>
      <c r="F145" s="95" t="s">
        <v>1604</v>
      </c>
      <c r="G145" s="60" t="s">
        <v>48</v>
      </c>
      <c r="H145" s="60" t="s">
        <v>42</v>
      </c>
      <c r="I145" s="60" t="s">
        <v>18</v>
      </c>
      <c r="J145" s="79" t="s">
        <v>34</v>
      </c>
    </row>
    <row r="146" spans="1:10" ht="15.75" customHeight="1" x14ac:dyDescent="0.3">
      <c r="A146" s="75" t="s">
        <v>554</v>
      </c>
      <c r="B146" s="61" t="s">
        <v>134</v>
      </c>
      <c r="C146" s="61" t="s">
        <v>12</v>
      </c>
      <c r="D146" s="62">
        <v>9789856257</v>
      </c>
      <c r="E146" s="61"/>
      <c r="F146" s="96" t="s">
        <v>1587</v>
      </c>
      <c r="G146" s="62" t="s">
        <v>54</v>
      </c>
      <c r="H146" s="62" t="s">
        <v>125</v>
      </c>
      <c r="I146" s="62" t="s">
        <v>26</v>
      </c>
      <c r="J146" s="80" t="s">
        <v>66</v>
      </c>
    </row>
    <row r="147" spans="1:10" ht="15.75" customHeight="1" x14ac:dyDescent="0.3">
      <c r="A147" s="72" t="s">
        <v>557</v>
      </c>
      <c r="B147" s="53" t="s">
        <v>134</v>
      </c>
      <c r="C147" s="53" t="s">
        <v>62</v>
      </c>
      <c r="D147" s="54">
        <v>9648909010</v>
      </c>
      <c r="E147" s="53" t="s">
        <v>559</v>
      </c>
      <c r="F147" s="93" t="s">
        <v>1572</v>
      </c>
      <c r="G147" s="54" t="s">
        <v>16</v>
      </c>
      <c r="H147" s="54" t="s">
        <v>25</v>
      </c>
      <c r="I147" s="54" t="s">
        <v>26</v>
      </c>
      <c r="J147" s="77" t="s">
        <v>66</v>
      </c>
    </row>
    <row r="148" spans="1:10" ht="15.75" customHeight="1" x14ac:dyDescent="0.3">
      <c r="A148" s="75" t="s">
        <v>561</v>
      </c>
      <c r="B148" s="61" t="s">
        <v>227</v>
      </c>
      <c r="C148" s="61" t="s">
        <v>62</v>
      </c>
      <c r="D148" s="62">
        <v>9499261891</v>
      </c>
      <c r="E148" s="61"/>
      <c r="F148" s="96" t="s">
        <v>1562</v>
      </c>
      <c r="G148" s="62" t="s">
        <v>54</v>
      </c>
      <c r="H148" s="62" t="s">
        <v>72</v>
      </c>
      <c r="I148" s="62"/>
      <c r="J148" s="80" t="s">
        <v>27</v>
      </c>
    </row>
    <row r="149" spans="1:10" ht="15.75" customHeight="1" x14ac:dyDescent="0.3">
      <c r="A149" s="76" t="s">
        <v>564</v>
      </c>
      <c r="B149" s="57" t="s">
        <v>597</v>
      </c>
      <c r="C149" s="57" t="s">
        <v>12</v>
      </c>
      <c r="D149" s="58"/>
      <c r="E149" s="57"/>
      <c r="F149" s="97" t="s">
        <v>1511</v>
      </c>
      <c r="G149" s="58" t="s">
        <v>111</v>
      </c>
      <c r="H149" s="58" t="s">
        <v>65</v>
      </c>
      <c r="I149" s="58" t="s">
        <v>26</v>
      </c>
      <c r="J149" s="81" t="s">
        <v>106</v>
      </c>
    </row>
    <row r="150" spans="1:10" ht="15.75" customHeight="1" x14ac:dyDescent="0.3">
      <c r="A150" s="76" t="s">
        <v>566</v>
      </c>
      <c r="B150" s="57" t="s">
        <v>227</v>
      </c>
      <c r="C150" s="57" t="s">
        <v>12</v>
      </c>
      <c r="D150" s="58"/>
      <c r="E150" s="57"/>
      <c r="F150" s="97" t="s">
        <v>1563</v>
      </c>
      <c r="G150" s="58" t="s">
        <v>111</v>
      </c>
      <c r="H150" s="58" t="s">
        <v>125</v>
      </c>
      <c r="I150" s="58" t="s">
        <v>18</v>
      </c>
      <c r="J150" s="81" t="s">
        <v>51</v>
      </c>
    </row>
    <row r="151" spans="1:10" ht="15.75" customHeight="1" x14ac:dyDescent="0.3">
      <c r="A151" s="73" t="s">
        <v>567</v>
      </c>
      <c r="B151" s="55" t="s">
        <v>29</v>
      </c>
      <c r="C151" s="55" t="s">
        <v>37</v>
      </c>
      <c r="D151" s="56"/>
      <c r="E151" s="55" t="s">
        <v>140</v>
      </c>
      <c r="F151" s="94" t="s">
        <v>1511</v>
      </c>
      <c r="G151" s="56" t="s">
        <v>79</v>
      </c>
      <c r="H151" s="56" t="s">
        <v>125</v>
      </c>
      <c r="I151" s="56" t="s">
        <v>18</v>
      </c>
      <c r="J151" s="78"/>
    </row>
    <row r="152" spans="1:10" ht="15.75" customHeight="1" x14ac:dyDescent="0.3">
      <c r="A152" s="73" t="s">
        <v>569</v>
      </c>
      <c r="B152" s="55" t="s">
        <v>29</v>
      </c>
      <c r="C152" s="55" t="s">
        <v>119</v>
      </c>
      <c r="D152" s="56">
        <v>9902771670</v>
      </c>
      <c r="E152" s="55" t="s">
        <v>571</v>
      </c>
      <c r="F152" s="94" t="s">
        <v>1591</v>
      </c>
      <c r="G152" s="56" t="s">
        <v>79</v>
      </c>
      <c r="H152" s="56" t="s">
        <v>65</v>
      </c>
      <c r="I152" s="56" t="s">
        <v>26</v>
      </c>
      <c r="J152" s="78" t="s">
        <v>19</v>
      </c>
    </row>
    <row r="153" spans="1:10" ht="15.75" customHeight="1" x14ac:dyDescent="0.3">
      <c r="A153" s="74" t="s">
        <v>573</v>
      </c>
      <c r="B153" s="59" t="s">
        <v>29</v>
      </c>
      <c r="C153" s="59" t="s">
        <v>62</v>
      </c>
      <c r="D153" s="60"/>
      <c r="E153" s="59" t="s">
        <v>574</v>
      </c>
      <c r="F153" s="95" t="s">
        <v>1609</v>
      </c>
      <c r="G153" s="60" t="s">
        <v>48</v>
      </c>
      <c r="H153" s="60" t="s">
        <v>1619</v>
      </c>
      <c r="I153" s="60" t="s">
        <v>26</v>
      </c>
      <c r="J153" s="79" t="s">
        <v>27</v>
      </c>
    </row>
    <row r="154" spans="1:10" ht="15.75" customHeight="1" x14ac:dyDescent="0.3">
      <c r="A154" s="73" t="s">
        <v>338</v>
      </c>
      <c r="B154" s="55" t="s">
        <v>206</v>
      </c>
      <c r="C154" s="55" t="s">
        <v>37</v>
      </c>
      <c r="D154" s="56"/>
      <c r="E154" s="55"/>
      <c r="F154" s="94" t="s">
        <v>1608</v>
      </c>
      <c r="G154" s="56" t="s">
        <v>79</v>
      </c>
      <c r="H154" s="56" t="s">
        <v>72</v>
      </c>
      <c r="I154" s="56" t="s">
        <v>18</v>
      </c>
      <c r="J154" s="78" t="s">
        <v>27</v>
      </c>
    </row>
    <row r="155" spans="1:10" ht="15.75" customHeight="1" x14ac:dyDescent="0.3">
      <c r="A155" s="73" t="s">
        <v>577</v>
      </c>
      <c r="B155" s="55" t="s">
        <v>597</v>
      </c>
      <c r="C155" s="55" t="s">
        <v>12</v>
      </c>
      <c r="D155" s="56">
        <v>9375899757</v>
      </c>
      <c r="E155" s="55"/>
      <c r="F155" s="94" t="s">
        <v>1574</v>
      </c>
      <c r="G155" s="56" t="s">
        <v>79</v>
      </c>
      <c r="H155" s="56" t="s">
        <v>72</v>
      </c>
      <c r="I155" s="56" t="s">
        <v>18</v>
      </c>
      <c r="J155" s="78" t="s">
        <v>27</v>
      </c>
    </row>
    <row r="156" spans="1:10" ht="15.75" customHeight="1" x14ac:dyDescent="0.3">
      <c r="A156" s="72" t="s">
        <v>540</v>
      </c>
      <c r="B156" s="53" t="s">
        <v>157</v>
      </c>
      <c r="C156" s="53"/>
      <c r="D156" s="54"/>
      <c r="E156" s="53" t="s">
        <v>580</v>
      </c>
      <c r="F156" s="93" t="s">
        <v>1531</v>
      </c>
      <c r="G156" s="54" t="s">
        <v>16</v>
      </c>
      <c r="H156" s="54" t="s">
        <v>1619</v>
      </c>
      <c r="I156" s="54" t="s">
        <v>26</v>
      </c>
      <c r="J156" s="77" t="s">
        <v>106</v>
      </c>
    </row>
    <row r="157" spans="1:10" ht="15.75" customHeight="1" x14ac:dyDescent="0.3">
      <c r="A157" s="76" t="s">
        <v>581</v>
      </c>
      <c r="B157" s="57" t="s">
        <v>29</v>
      </c>
      <c r="C157" s="57" t="s">
        <v>45</v>
      </c>
      <c r="D157" s="58"/>
      <c r="E157" s="57"/>
      <c r="F157" s="97" t="s">
        <v>1536</v>
      </c>
      <c r="G157" s="58" t="s">
        <v>111</v>
      </c>
      <c r="H157" s="58" t="s">
        <v>17</v>
      </c>
      <c r="I157" s="58" t="s">
        <v>18</v>
      </c>
      <c r="J157" s="81"/>
    </row>
    <row r="158" spans="1:10" ht="15.75" customHeight="1" x14ac:dyDescent="0.3">
      <c r="A158" s="75" t="s">
        <v>583</v>
      </c>
      <c r="B158" s="61" t="s">
        <v>206</v>
      </c>
      <c r="C158" s="61"/>
      <c r="D158" s="62"/>
      <c r="E158" s="61" t="s">
        <v>584</v>
      </c>
      <c r="F158" s="96" t="s">
        <v>1548</v>
      </c>
      <c r="G158" s="62" t="s">
        <v>54</v>
      </c>
      <c r="H158" s="62" t="s">
        <v>72</v>
      </c>
      <c r="I158" s="62" t="s">
        <v>26</v>
      </c>
      <c r="J158" s="80" t="s">
        <v>51</v>
      </c>
    </row>
    <row r="159" spans="1:10" ht="15.75" customHeight="1" x14ac:dyDescent="0.3">
      <c r="A159" s="72" t="s">
        <v>585</v>
      </c>
      <c r="B159" s="53" t="s">
        <v>275</v>
      </c>
      <c r="C159" s="53" t="s">
        <v>62</v>
      </c>
      <c r="D159" s="54"/>
      <c r="E159" s="53"/>
      <c r="F159" s="93" t="s">
        <v>1562</v>
      </c>
      <c r="G159" s="54" t="s">
        <v>16</v>
      </c>
      <c r="H159" s="54" t="s">
        <v>49</v>
      </c>
      <c r="I159" s="54" t="s">
        <v>26</v>
      </c>
      <c r="J159" s="77" t="s">
        <v>34</v>
      </c>
    </row>
    <row r="160" spans="1:10" ht="15.75" customHeight="1" x14ac:dyDescent="0.3">
      <c r="A160" s="73" t="s">
        <v>587</v>
      </c>
      <c r="B160" s="55" t="s">
        <v>134</v>
      </c>
      <c r="C160" s="55" t="s">
        <v>22</v>
      </c>
      <c r="D160" s="56"/>
      <c r="E160" s="55" t="s">
        <v>588</v>
      </c>
      <c r="F160" s="94" t="s">
        <v>1609</v>
      </c>
      <c r="G160" s="56" t="s">
        <v>79</v>
      </c>
      <c r="H160" s="56" t="s">
        <v>42</v>
      </c>
      <c r="I160" s="56" t="s">
        <v>26</v>
      </c>
      <c r="J160" s="78" t="s">
        <v>51</v>
      </c>
    </row>
    <row r="161" spans="1:10" ht="15.75" customHeight="1" x14ac:dyDescent="0.3">
      <c r="A161" s="72" t="s">
        <v>589</v>
      </c>
      <c r="B161" s="53" t="s">
        <v>193</v>
      </c>
      <c r="C161" s="53" t="s">
        <v>22</v>
      </c>
      <c r="D161" s="54">
        <v>9735989334</v>
      </c>
      <c r="E161" s="53" t="s">
        <v>404</v>
      </c>
      <c r="F161" s="93" t="s">
        <v>1558</v>
      </c>
      <c r="G161" s="54" t="s">
        <v>16</v>
      </c>
      <c r="H161" s="54" t="s">
        <v>1619</v>
      </c>
      <c r="I161" s="54" t="s">
        <v>18</v>
      </c>
      <c r="J161" s="77" t="s">
        <v>27</v>
      </c>
    </row>
    <row r="162" spans="1:10" ht="15.75" customHeight="1" x14ac:dyDescent="0.3">
      <c r="A162" s="73" t="s">
        <v>591</v>
      </c>
      <c r="B162" s="55" t="s">
        <v>227</v>
      </c>
      <c r="C162" s="55"/>
      <c r="D162" s="56"/>
      <c r="E162" s="55" t="s">
        <v>592</v>
      </c>
      <c r="F162" s="94" t="s">
        <v>1579</v>
      </c>
      <c r="G162" s="56" t="s">
        <v>79</v>
      </c>
      <c r="H162" s="56" t="s">
        <v>1619</v>
      </c>
      <c r="I162" s="56" t="s">
        <v>26</v>
      </c>
      <c r="J162" s="78" t="s">
        <v>51</v>
      </c>
    </row>
    <row r="163" spans="1:10" ht="15.75" customHeight="1" x14ac:dyDescent="0.3">
      <c r="A163" s="73" t="s">
        <v>593</v>
      </c>
      <c r="B163" s="55" t="s">
        <v>597</v>
      </c>
      <c r="C163" s="55"/>
      <c r="D163" s="56"/>
      <c r="E163" s="55" t="s">
        <v>594</v>
      </c>
      <c r="F163" s="94" t="s">
        <v>1549</v>
      </c>
      <c r="G163" s="56" t="s">
        <v>79</v>
      </c>
      <c r="H163" s="56" t="s">
        <v>17</v>
      </c>
      <c r="I163" s="56" t="s">
        <v>26</v>
      </c>
      <c r="J163" s="78" t="s">
        <v>19</v>
      </c>
    </row>
    <row r="164" spans="1:10" ht="15.75" customHeight="1" x14ac:dyDescent="0.3">
      <c r="A164" s="73" t="s">
        <v>596</v>
      </c>
      <c r="B164" s="55" t="s">
        <v>597</v>
      </c>
      <c r="C164" s="55" t="s">
        <v>12</v>
      </c>
      <c r="D164" s="56"/>
      <c r="E164" s="55" t="s">
        <v>598</v>
      </c>
      <c r="F164" s="94" t="s">
        <v>1530</v>
      </c>
      <c r="G164" s="56" t="s">
        <v>79</v>
      </c>
      <c r="H164" s="56" t="s">
        <v>65</v>
      </c>
      <c r="I164" s="56" t="s">
        <v>26</v>
      </c>
      <c r="J164" s="78" t="s">
        <v>27</v>
      </c>
    </row>
    <row r="165" spans="1:10" ht="15.75" customHeight="1" x14ac:dyDescent="0.3">
      <c r="A165" s="74" t="s">
        <v>600</v>
      </c>
      <c r="B165" s="59" t="s">
        <v>193</v>
      </c>
      <c r="C165" s="59"/>
      <c r="D165" s="60"/>
      <c r="E165" s="59"/>
      <c r="F165" s="95" t="s">
        <v>1599</v>
      </c>
      <c r="G165" s="60" t="s">
        <v>48</v>
      </c>
      <c r="H165" s="60" t="s">
        <v>25</v>
      </c>
      <c r="I165" s="60" t="s">
        <v>18</v>
      </c>
      <c r="J165" s="79"/>
    </row>
    <row r="166" spans="1:10" ht="15.75" customHeight="1" x14ac:dyDescent="0.3">
      <c r="A166" s="74" t="s">
        <v>601</v>
      </c>
      <c r="B166" s="59" t="s">
        <v>206</v>
      </c>
      <c r="C166" s="59" t="s">
        <v>119</v>
      </c>
      <c r="D166" s="60"/>
      <c r="E166" s="59" t="s">
        <v>602</v>
      </c>
      <c r="F166" s="95" t="s">
        <v>1562</v>
      </c>
      <c r="G166" s="60" t="s">
        <v>48</v>
      </c>
      <c r="H166" s="60" t="s">
        <v>72</v>
      </c>
      <c r="I166" s="60"/>
      <c r="J166" s="79" t="s">
        <v>91</v>
      </c>
    </row>
    <row r="167" spans="1:10" ht="15.75" customHeight="1" x14ac:dyDescent="0.3">
      <c r="A167" s="73" t="s">
        <v>604</v>
      </c>
      <c r="B167" s="55" t="s">
        <v>206</v>
      </c>
      <c r="C167" s="55" t="s">
        <v>37</v>
      </c>
      <c r="D167" s="56"/>
      <c r="E167" s="55" t="s">
        <v>605</v>
      </c>
      <c r="F167" s="94" t="s">
        <v>1567</v>
      </c>
      <c r="G167" s="56" t="s">
        <v>79</v>
      </c>
      <c r="H167" s="56" t="s">
        <v>125</v>
      </c>
      <c r="I167" s="56" t="s">
        <v>18</v>
      </c>
      <c r="J167" s="78" t="s">
        <v>66</v>
      </c>
    </row>
    <row r="168" spans="1:10" ht="15.75" customHeight="1" x14ac:dyDescent="0.3">
      <c r="A168" s="73" t="s">
        <v>606</v>
      </c>
      <c r="B168" s="55" t="s">
        <v>193</v>
      </c>
      <c r="C168" s="55" t="s">
        <v>45</v>
      </c>
      <c r="D168" s="56">
        <v>9143536822</v>
      </c>
      <c r="E168" s="55" t="s">
        <v>608</v>
      </c>
      <c r="F168" s="94" t="s">
        <v>1511</v>
      </c>
      <c r="G168" s="56" t="s">
        <v>79</v>
      </c>
      <c r="H168" s="56" t="s">
        <v>83</v>
      </c>
      <c r="I168" s="56" t="s">
        <v>26</v>
      </c>
      <c r="J168" s="78" t="s">
        <v>27</v>
      </c>
    </row>
    <row r="169" spans="1:10" ht="15.75" customHeight="1" x14ac:dyDescent="0.3">
      <c r="A169" s="72" t="s">
        <v>609</v>
      </c>
      <c r="B169" s="53" t="s">
        <v>202</v>
      </c>
      <c r="C169" s="53" t="s">
        <v>12</v>
      </c>
      <c r="D169" s="54">
        <v>9397552314</v>
      </c>
      <c r="E169" s="53"/>
      <c r="F169" s="93" t="s">
        <v>1589</v>
      </c>
      <c r="G169" s="54" t="s">
        <v>16</v>
      </c>
      <c r="H169" s="54" t="s">
        <v>72</v>
      </c>
      <c r="I169" s="54" t="s">
        <v>26</v>
      </c>
      <c r="J169" s="77" t="s">
        <v>143</v>
      </c>
    </row>
    <row r="170" spans="1:10" ht="15.75" customHeight="1" x14ac:dyDescent="0.3">
      <c r="A170" s="76" t="s">
        <v>611</v>
      </c>
      <c r="B170" s="57" t="s">
        <v>157</v>
      </c>
      <c r="C170" s="57" t="s">
        <v>22</v>
      </c>
      <c r="D170" s="58">
        <v>9533645257</v>
      </c>
      <c r="E170" s="57" t="s">
        <v>613</v>
      </c>
      <c r="F170" s="97" t="s">
        <v>1548</v>
      </c>
      <c r="G170" s="58" t="s">
        <v>111</v>
      </c>
      <c r="H170" s="58" t="s">
        <v>65</v>
      </c>
      <c r="I170" s="58"/>
      <c r="J170" s="81" t="s">
        <v>34</v>
      </c>
    </row>
    <row r="171" spans="1:10" ht="15.75" customHeight="1" x14ac:dyDescent="0.3">
      <c r="A171" s="73" t="s">
        <v>614</v>
      </c>
      <c r="B171" s="55" t="s">
        <v>134</v>
      </c>
      <c r="C171" s="55" t="s">
        <v>62</v>
      </c>
      <c r="D171" s="56">
        <v>9108099693</v>
      </c>
      <c r="E171" s="55" t="s">
        <v>616</v>
      </c>
      <c r="F171" s="94" t="s">
        <v>1528</v>
      </c>
      <c r="G171" s="56" t="s">
        <v>79</v>
      </c>
      <c r="H171" s="56" t="s">
        <v>72</v>
      </c>
      <c r="I171" s="56" t="s">
        <v>26</v>
      </c>
      <c r="J171" s="78" t="s">
        <v>91</v>
      </c>
    </row>
    <row r="172" spans="1:10" ht="15.75" customHeight="1" x14ac:dyDescent="0.3">
      <c r="A172" s="73" t="s">
        <v>617</v>
      </c>
      <c r="B172" s="55" t="s">
        <v>202</v>
      </c>
      <c r="C172" s="55" t="s">
        <v>37</v>
      </c>
      <c r="D172" s="56"/>
      <c r="E172" s="55"/>
      <c r="F172" s="94" t="s">
        <v>1526</v>
      </c>
      <c r="G172" s="56" t="s">
        <v>79</v>
      </c>
      <c r="H172" s="56" t="s">
        <v>83</v>
      </c>
      <c r="I172" s="56" t="s">
        <v>26</v>
      </c>
      <c r="J172" s="78" t="s">
        <v>106</v>
      </c>
    </row>
    <row r="173" spans="1:10" ht="15.75" customHeight="1" x14ac:dyDescent="0.3">
      <c r="A173" s="72" t="s">
        <v>619</v>
      </c>
      <c r="B173" s="53" t="s">
        <v>227</v>
      </c>
      <c r="C173" s="53" t="s">
        <v>62</v>
      </c>
      <c r="D173" s="54"/>
      <c r="E173" s="53" t="s">
        <v>620</v>
      </c>
      <c r="F173" s="93" t="s">
        <v>1526</v>
      </c>
      <c r="G173" s="54" t="s">
        <v>16</v>
      </c>
      <c r="H173" s="54" t="s">
        <v>17</v>
      </c>
      <c r="I173" s="54" t="s">
        <v>18</v>
      </c>
      <c r="J173" s="77" t="s">
        <v>106</v>
      </c>
    </row>
    <row r="174" spans="1:10" ht="15.75" customHeight="1" x14ac:dyDescent="0.3">
      <c r="A174" s="75" t="s">
        <v>621</v>
      </c>
      <c r="B174" s="61" t="s">
        <v>227</v>
      </c>
      <c r="C174" s="61" t="s">
        <v>22</v>
      </c>
      <c r="D174" s="62">
        <v>9655779082</v>
      </c>
      <c r="E174" s="61"/>
      <c r="F174" s="96" t="s">
        <v>1567</v>
      </c>
      <c r="G174" s="62" t="s">
        <v>54</v>
      </c>
      <c r="H174" s="62" t="s">
        <v>125</v>
      </c>
      <c r="I174" s="62" t="s">
        <v>18</v>
      </c>
      <c r="J174" s="80" t="s">
        <v>106</v>
      </c>
    </row>
    <row r="175" spans="1:10" ht="15.75" customHeight="1" x14ac:dyDescent="0.3">
      <c r="A175" s="76" t="s">
        <v>623</v>
      </c>
      <c r="B175" s="57" t="s">
        <v>597</v>
      </c>
      <c r="C175" s="57" t="s">
        <v>62</v>
      </c>
      <c r="D175" s="58">
        <v>9777392603</v>
      </c>
      <c r="E175" s="57"/>
      <c r="F175" s="97" t="s">
        <v>1517</v>
      </c>
      <c r="G175" s="58" t="s">
        <v>111</v>
      </c>
      <c r="H175" s="58" t="s">
        <v>49</v>
      </c>
      <c r="I175" s="58" t="s">
        <v>18</v>
      </c>
      <c r="J175" s="81" t="s">
        <v>143</v>
      </c>
    </row>
    <row r="176" spans="1:10" ht="15.75" customHeight="1" x14ac:dyDescent="0.3">
      <c r="A176" s="76" t="s">
        <v>626</v>
      </c>
      <c r="B176" s="57" t="s">
        <v>193</v>
      </c>
      <c r="C176" s="57" t="s">
        <v>22</v>
      </c>
      <c r="D176" s="58">
        <v>9699041379</v>
      </c>
      <c r="E176" s="57"/>
      <c r="F176" s="97" t="s">
        <v>1608</v>
      </c>
      <c r="G176" s="58" t="s">
        <v>111</v>
      </c>
      <c r="H176" s="58" t="s">
        <v>72</v>
      </c>
      <c r="I176" s="58" t="s">
        <v>26</v>
      </c>
      <c r="J176" s="81" t="s">
        <v>51</v>
      </c>
    </row>
    <row r="177" spans="1:10" ht="15.75" customHeight="1" x14ac:dyDescent="0.3">
      <c r="A177" s="72" t="s">
        <v>629</v>
      </c>
      <c r="B177" s="53" t="s">
        <v>29</v>
      </c>
      <c r="C177" s="53" t="s">
        <v>119</v>
      </c>
      <c r="D177" s="54">
        <v>9103886291</v>
      </c>
      <c r="E177" s="53" t="s">
        <v>631</v>
      </c>
      <c r="F177" s="93" t="s">
        <v>1597</v>
      </c>
      <c r="G177" s="54" t="s">
        <v>16</v>
      </c>
      <c r="H177" s="54" t="s">
        <v>125</v>
      </c>
      <c r="I177" s="54" t="s">
        <v>18</v>
      </c>
      <c r="J177" s="77" t="s">
        <v>27</v>
      </c>
    </row>
    <row r="178" spans="1:10" ht="15.75" customHeight="1" x14ac:dyDescent="0.3">
      <c r="A178" s="72" t="s">
        <v>633</v>
      </c>
      <c r="B178" s="53" t="s">
        <v>193</v>
      </c>
      <c r="C178" s="53" t="s">
        <v>45</v>
      </c>
      <c r="D178" s="54"/>
      <c r="E178" s="53" t="s">
        <v>634</v>
      </c>
      <c r="F178" s="93" t="s">
        <v>1557</v>
      </c>
      <c r="G178" s="54" t="s">
        <v>16</v>
      </c>
      <c r="H178" s="54" t="s">
        <v>83</v>
      </c>
      <c r="I178" s="54"/>
      <c r="J178" s="77" t="s">
        <v>19</v>
      </c>
    </row>
    <row r="179" spans="1:10" ht="15.75" customHeight="1" x14ac:dyDescent="0.3">
      <c r="A179" s="72" t="s">
        <v>636</v>
      </c>
      <c r="B179" s="53" t="s">
        <v>202</v>
      </c>
      <c r="C179" s="53" t="s">
        <v>45</v>
      </c>
      <c r="D179" s="54">
        <v>9430098180</v>
      </c>
      <c r="E179" s="53" t="s">
        <v>638</v>
      </c>
      <c r="F179" s="93" t="s">
        <v>1608</v>
      </c>
      <c r="G179" s="54" t="s">
        <v>16</v>
      </c>
      <c r="H179" s="54" t="s">
        <v>72</v>
      </c>
      <c r="I179" s="54" t="s">
        <v>18</v>
      </c>
      <c r="J179" s="77" t="s">
        <v>27</v>
      </c>
    </row>
    <row r="180" spans="1:10" ht="15.75" customHeight="1" x14ac:dyDescent="0.3">
      <c r="A180" s="72" t="s">
        <v>640</v>
      </c>
      <c r="B180" s="53" t="s">
        <v>206</v>
      </c>
      <c r="C180" s="53" t="s">
        <v>12</v>
      </c>
      <c r="D180" s="54">
        <v>9368872588</v>
      </c>
      <c r="E180" s="53" t="s">
        <v>642</v>
      </c>
      <c r="F180" s="93" t="s">
        <v>1571</v>
      </c>
      <c r="G180" s="54" t="s">
        <v>16</v>
      </c>
      <c r="H180" s="54" t="s">
        <v>83</v>
      </c>
      <c r="I180" s="54"/>
      <c r="J180" s="77" t="s">
        <v>143</v>
      </c>
    </row>
    <row r="181" spans="1:10" ht="15.75" customHeight="1" x14ac:dyDescent="0.3">
      <c r="A181" s="72" t="s">
        <v>644</v>
      </c>
      <c r="B181" s="53" t="s">
        <v>202</v>
      </c>
      <c r="C181" s="53"/>
      <c r="D181" s="54">
        <v>9890260127</v>
      </c>
      <c r="E181" s="53"/>
      <c r="F181" s="93" t="s">
        <v>1604</v>
      </c>
      <c r="G181" s="54" t="s">
        <v>16</v>
      </c>
      <c r="H181" s="54" t="s">
        <v>42</v>
      </c>
      <c r="I181" s="54" t="s">
        <v>26</v>
      </c>
      <c r="J181" s="77" t="s">
        <v>27</v>
      </c>
    </row>
    <row r="182" spans="1:10" ht="15.75" customHeight="1" x14ac:dyDescent="0.3">
      <c r="A182" s="73" t="s">
        <v>646</v>
      </c>
      <c r="B182" s="55" t="s">
        <v>227</v>
      </c>
      <c r="C182" s="55"/>
      <c r="D182" s="56">
        <v>9770384309</v>
      </c>
      <c r="E182" s="55" t="s">
        <v>228</v>
      </c>
      <c r="F182" s="94" t="s">
        <v>1591</v>
      </c>
      <c r="G182" s="56" t="s">
        <v>79</v>
      </c>
      <c r="H182" s="56" t="s">
        <v>49</v>
      </c>
      <c r="I182" s="56" t="s">
        <v>26</v>
      </c>
      <c r="J182" s="78" t="s">
        <v>106</v>
      </c>
    </row>
    <row r="183" spans="1:10" ht="15.75" customHeight="1" x14ac:dyDescent="0.3">
      <c r="A183" s="72" t="s">
        <v>650</v>
      </c>
      <c r="B183" s="53" t="s">
        <v>227</v>
      </c>
      <c r="C183" s="53" t="s">
        <v>119</v>
      </c>
      <c r="D183" s="54">
        <v>9938011848</v>
      </c>
      <c r="E183" s="53" t="s">
        <v>620</v>
      </c>
      <c r="F183" s="93" t="s">
        <v>1604</v>
      </c>
      <c r="G183" s="54" t="s">
        <v>16</v>
      </c>
      <c r="H183" s="54" t="s">
        <v>49</v>
      </c>
      <c r="I183" s="54" t="s">
        <v>18</v>
      </c>
      <c r="J183" s="77" t="s">
        <v>143</v>
      </c>
    </row>
    <row r="184" spans="1:10" ht="15.75" customHeight="1" x14ac:dyDescent="0.3">
      <c r="A184" s="72" t="s">
        <v>652</v>
      </c>
      <c r="B184" s="53" t="s">
        <v>206</v>
      </c>
      <c r="C184" s="53"/>
      <c r="D184" s="54"/>
      <c r="E184" s="53" t="s">
        <v>653</v>
      </c>
      <c r="F184" s="93" t="s">
        <v>1582</v>
      </c>
      <c r="G184" s="54" t="s">
        <v>16</v>
      </c>
      <c r="H184" s="54" t="s">
        <v>49</v>
      </c>
      <c r="I184" s="54" t="s">
        <v>26</v>
      </c>
      <c r="J184" s="77" t="s">
        <v>106</v>
      </c>
    </row>
    <row r="185" spans="1:10" ht="15.75" customHeight="1" x14ac:dyDescent="0.3">
      <c r="A185" s="72" t="s">
        <v>654</v>
      </c>
      <c r="B185" s="53" t="s">
        <v>227</v>
      </c>
      <c r="C185" s="53"/>
      <c r="D185" s="54">
        <v>9356588043</v>
      </c>
      <c r="E185" s="53"/>
      <c r="F185" s="93" t="s">
        <v>1591</v>
      </c>
      <c r="G185" s="54" t="s">
        <v>16</v>
      </c>
      <c r="H185" s="54" t="s">
        <v>125</v>
      </c>
      <c r="I185" s="54" t="s">
        <v>26</v>
      </c>
      <c r="J185" s="77" t="s">
        <v>51</v>
      </c>
    </row>
    <row r="186" spans="1:10" ht="15.75" customHeight="1" x14ac:dyDescent="0.3">
      <c r="A186" s="72" t="s">
        <v>657</v>
      </c>
      <c r="B186" s="53" t="s">
        <v>157</v>
      </c>
      <c r="C186" s="53" t="s">
        <v>12</v>
      </c>
      <c r="D186" s="54"/>
      <c r="E186" s="53" t="s">
        <v>658</v>
      </c>
      <c r="F186" s="93" t="s">
        <v>1562</v>
      </c>
      <c r="G186" s="54" t="s">
        <v>16</v>
      </c>
      <c r="H186" s="54" t="s">
        <v>83</v>
      </c>
      <c r="I186" s="54" t="s">
        <v>18</v>
      </c>
      <c r="J186" s="77" t="s">
        <v>66</v>
      </c>
    </row>
    <row r="187" spans="1:10" ht="15.75" customHeight="1" x14ac:dyDescent="0.3">
      <c r="A187" s="73" t="s">
        <v>659</v>
      </c>
      <c r="B187" s="55" t="s">
        <v>193</v>
      </c>
      <c r="C187" s="55" t="s">
        <v>12</v>
      </c>
      <c r="D187" s="56">
        <v>9947284639</v>
      </c>
      <c r="E187" s="55"/>
      <c r="F187" s="94" t="s">
        <v>1523</v>
      </c>
      <c r="G187" s="56" t="s">
        <v>79</v>
      </c>
      <c r="H187" s="56" t="s">
        <v>42</v>
      </c>
      <c r="I187" s="56"/>
      <c r="J187" s="78" t="s">
        <v>143</v>
      </c>
    </row>
    <row r="188" spans="1:10" ht="15.75" customHeight="1" x14ac:dyDescent="0.3">
      <c r="A188" s="73" t="s">
        <v>662</v>
      </c>
      <c r="B188" s="55" t="s">
        <v>29</v>
      </c>
      <c r="C188" s="55" t="s">
        <v>119</v>
      </c>
      <c r="D188" s="56"/>
      <c r="E188" s="55" t="s">
        <v>663</v>
      </c>
      <c r="F188" s="94" t="s">
        <v>1507</v>
      </c>
      <c r="G188" s="56" t="s">
        <v>79</v>
      </c>
      <c r="H188" s="56" t="s">
        <v>83</v>
      </c>
      <c r="I188" s="56" t="s">
        <v>26</v>
      </c>
      <c r="J188" s="78" t="s">
        <v>19</v>
      </c>
    </row>
    <row r="189" spans="1:10" ht="15.75" customHeight="1" x14ac:dyDescent="0.3">
      <c r="A189" s="73" t="s">
        <v>664</v>
      </c>
      <c r="B189" s="55" t="s">
        <v>206</v>
      </c>
      <c r="C189" s="55" t="s">
        <v>119</v>
      </c>
      <c r="D189" s="56">
        <v>9729293143</v>
      </c>
      <c r="E189" s="55" t="s">
        <v>666</v>
      </c>
      <c r="F189" s="94" t="s">
        <v>1603</v>
      </c>
      <c r="G189" s="56" t="s">
        <v>79</v>
      </c>
      <c r="H189" s="56" t="s">
        <v>83</v>
      </c>
      <c r="I189" s="56" t="s">
        <v>26</v>
      </c>
      <c r="J189" s="78" t="s">
        <v>27</v>
      </c>
    </row>
    <row r="190" spans="1:10" ht="15.75" customHeight="1" x14ac:dyDescent="0.3">
      <c r="A190" s="73" t="s">
        <v>667</v>
      </c>
      <c r="B190" s="55" t="s">
        <v>157</v>
      </c>
      <c r="C190" s="55" t="s">
        <v>45</v>
      </c>
      <c r="D190" s="56">
        <v>9061203471</v>
      </c>
      <c r="E190" s="55" t="s">
        <v>669</v>
      </c>
      <c r="F190" s="94" t="s">
        <v>1554</v>
      </c>
      <c r="G190" s="56" t="s">
        <v>79</v>
      </c>
      <c r="H190" s="56" t="s">
        <v>1619</v>
      </c>
      <c r="I190" s="56" t="s">
        <v>18</v>
      </c>
      <c r="J190" s="78" t="s">
        <v>51</v>
      </c>
    </row>
    <row r="191" spans="1:10" ht="15.75" customHeight="1" x14ac:dyDescent="0.3">
      <c r="A191" s="72" t="s">
        <v>670</v>
      </c>
      <c r="B191" s="53" t="s">
        <v>597</v>
      </c>
      <c r="C191" s="53" t="s">
        <v>62</v>
      </c>
      <c r="D191" s="54">
        <v>9245587716</v>
      </c>
      <c r="E191" s="53" t="s">
        <v>469</v>
      </c>
      <c r="F191" s="93" t="s">
        <v>1584</v>
      </c>
      <c r="G191" s="54" t="s">
        <v>16</v>
      </c>
      <c r="H191" s="54" t="s">
        <v>42</v>
      </c>
      <c r="I191" s="54"/>
      <c r="J191" s="77" t="s">
        <v>106</v>
      </c>
    </row>
    <row r="192" spans="1:10" ht="15.75" customHeight="1" x14ac:dyDescent="0.3">
      <c r="A192" s="75" t="s">
        <v>673</v>
      </c>
      <c r="B192" s="61" t="s">
        <v>202</v>
      </c>
      <c r="C192" s="61" t="s">
        <v>12</v>
      </c>
      <c r="D192" s="62">
        <v>9449647598</v>
      </c>
      <c r="E192" s="61"/>
      <c r="F192" s="96" t="s">
        <v>1521</v>
      </c>
      <c r="G192" s="62" t="s">
        <v>54</v>
      </c>
      <c r="H192" s="62" t="s">
        <v>65</v>
      </c>
      <c r="I192" s="62" t="s">
        <v>26</v>
      </c>
      <c r="J192" s="80" t="s">
        <v>143</v>
      </c>
    </row>
    <row r="193" spans="1:10" ht="15.75" customHeight="1" x14ac:dyDescent="0.3">
      <c r="A193" s="75" t="s">
        <v>676</v>
      </c>
      <c r="B193" s="61" t="s">
        <v>206</v>
      </c>
      <c r="C193" s="61"/>
      <c r="D193" s="62">
        <v>9800681149</v>
      </c>
      <c r="E193" s="61"/>
      <c r="F193" s="96" t="s">
        <v>1566</v>
      </c>
      <c r="G193" s="62" t="s">
        <v>54</v>
      </c>
      <c r="H193" s="62" t="s">
        <v>72</v>
      </c>
      <c r="I193" s="62" t="s">
        <v>26</v>
      </c>
      <c r="J193" s="80" t="s">
        <v>143</v>
      </c>
    </row>
    <row r="194" spans="1:10" ht="15.75" customHeight="1" x14ac:dyDescent="0.3">
      <c r="A194" s="74" t="s">
        <v>678</v>
      </c>
      <c r="B194" s="59" t="s">
        <v>134</v>
      </c>
      <c r="C194" s="59" t="s">
        <v>37</v>
      </c>
      <c r="D194" s="60"/>
      <c r="E194" s="59" t="s">
        <v>305</v>
      </c>
      <c r="F194" s="95" t="s">
        <v>1580</v>
      </c>
      <c r="G194" s="60" t="s">
        <v>48</v>
      </c>
      <c r="H194" s="60" t="s">
        <v>83</v>
      </c>
      <c r="I194" s="60" t="s">
        <v>18</v>
      </c>
      <c r="J194" s="79" t="s">
        <v>19</v>
      </c>
    </row>
    <row r="195" spans="1:10" ht="15.75" customHeight="1" x14ac:dyDescent="0.3">
      <c r="A195" s="74" t="s">
        <v>679</v>
      </c>
      <c r="B195" s="59" t="s">
        <v>202</v>
      </c>
      <c r="C195" s="59" t="s">
        <v>119</v>
      </c>
      <c r="D195" s="60">
        <v>9240082547</v>
      </c>
      <c r="E195" s="59"/>
      <c r="F195" s="95" t="s">
        <v>1596</v>
      </c>
      <c r="G195" s="60" t="s">
        <v>48</v>
      </c>
      <c r="H195" s="60" t="s">
        <v>1619</v>
      </c>
      <c r="I195" s="60" t="s">
        <v>26</v>
      </c>
      <c r="J195" s="79" t="s">
        <v>34</v>
      </c>
    </row>
    <row r="196" spans="1:10" ht="15.75" customHeight="1" x14ac:dyDescent="0.3">
      <c r="A196" s="74" t="s">
        <v>682</v>
      </c>
      <c r="B196" s="59" t="s">
        <v>597</v>
      </c>
      <c r="C196" s="59" t="s">
        <v>22</v>
      </c>
      <c r="D196" s="60">
        <v>9866326634</v>
      </c>
      <c r="E196" s="59" t="s">
        <v>684</v>
      </c>
      <c r="F196" s="95" t="s">
        <v>1509</v>
      </c>
      <c r="G196" s="60" t="s">
        <v>48</v>
      </c>
      <c r="H196" s="60" t="s">
        <v>72</v>
      </c>
      <c r="I196" s="60" t="s">
        <v>26</v>
      </c>
      <c r="J196" s="79" t="s">
        <v>19</v>
      </c>
    </row>
    <row r="197" spans="1:10" ht="15.75" customHeight="1" x14ac:dyDescent="0.3">
      <c r="A197" s="74" t="s">
        <v>685</v>
      </c>
      <c r="B197" s="59" t="s">
        <v>202</v>
      </c>
      <c r="C197" s="59" t="s">
        <v>37</v>
      </c>
      <c r="D197" s="60">
        <v>9974973502</v>
      </c>
      <c r="E197" s="59"/>
      <c r="F197" s="95" t="s">
        <v>1562</v>
      </c>
      <c r="G197" s="60" t="s">
        <v>48</v>
      </c>
      <c r="H197" s="60" t="s">
        <v>83</v>
      </c>
      <c r="I197" s="60" t="s">
        <v>26</v>
      </c>
      <c r="J197" s="79" t="s">
        <v>66</v>
      </c>
    </row>
    <row r="198" spans="1:10" ht="15.75" customHeight="1" x14ac:dyDescent="0.3">
      <c r="A198" s="72" t="s">
        <v>687</v>
      </c>
      <c r="B198" s="53" t="s">
        <v>597</v>
      </c>
      <c r="C198" s="53" t="s">
        <v>119</v>
      </c>
      <c r="D198" s="54"/>
      <c r="E198" s="53"/>
      <c r="F198" s="93" t="s">
        <v>1507</v>
      </c>
      <c r="G198" s="54" t="s">
        <v>16</v>
      </c>
      <c r="H198" s="54" t="s">
        <v>125</v>
      </c>
      <c r="I198" s="54" t="s">
        <v>26</v>
      </c>
      <c r="J198" s="77" t="s">
        <v>34</v>
      </c>
    </row>
    <row r="199" spans="1:10" ht="15.75" customHeight="1" x14ac:dyDescent="0.3">
      <c r="A199" s="72" t="s">
        <v>688</v>
      </c>
      <c r="B199" s="53" t="s">
        <v>206</v>
      </c>
      <c r="C199" s="53"/>
      <c r="D199" s="54">
        <v>9673037183</v>
      </c>
      <c r="E199" s="53" t="s">
        <v>690</v>
      </c>
      <c r="F199" s="93" t="s">
        <v>1533</v>
      </c>
      <c r="G199" s="54" t="s">
        <v>16</v>
      </c>
      <c r="H199" s="54" t="s">
        <v>72</v>
      </c>
      <c r="I199" s="54" t="s">
        <v>26</v>
      </c>
      <c r="J199" s="77" t="s">
        <v>51</v>
      </c>
    </row>
    <row r="200" spans="1:10" ht="15.75" customHeight="1" x14ac:dyDescent="0.3">
      <c r="A200" s="73" t="s">
        <v>692</v>
      </c>
      <c r="B200" s="55" t="s">
        <v>193</v>
      </c>
      <c r="C200" s="55" t="s">
        <v>37</v>
      </c>
      <c r="D200" s="56">
        <v>9650249163</v>
      </c>
      <c r="E200" s="55" t="s">
        <v>694</v>
      </c>
      <c r="F200" s="94" t="s">
        <v>1528</v>
      </c>
      <c r="G200" s="56" t="s">
        <v>79</v>
      </c>
      <c r="H200" s="56" t="s">
        <v>25</v>
      </c>
      <c r="I200" s="56" t="s">
        <v>26</v>
      </c>
      <c r="J200" s="78" t="s">
        <v>91</v>
      </c>
    </row>
    <row r="201" spans="1:10" ht="15.75" customHeight="1" x14ac:dyDescent="0.3">
      <c r="A201" s="72" t="s">
        <v>695</v>
      </c>
      <c r="B201" s="53" t="s">
        <v>202</v>
      </c>
      <c r="C201" s="53"/>
      <c r="D201" s="54">
        <v>9052812735</v>
      </c>
      <c r="E201" s="53" t="s">
        <v>697</v>
      </c>
      <c r="F201" s="93" t="s">
        <v>1589</v>
      </c>
      <c r="G201" s="54" t="s">
        <v>16</v>
      </c>
      <c r="H201" s="54" t="s">
        <v>125</v>
      </c>
      <c r="I201" s="54" t="s">
        <v>18</v>
      </c>
      <c r="J201" s="77" t="s">
        <v>66</v>
      </c>
    </row>
    <row r="202" spans="1:10" ht="15.75" customHeight="1" x14ac:dyDescent="0.3">
      <c r="A202" s="74" t="s">
        <v>698</v>
      </c>
      <c r="B202" s="59" t="s">
        <v>29</v>
      </c>
      <c r="C202" s="59" t="s">
        <v>45</v>
      </c>
      <c r="D202" s="60"/>
      <c r="E202" s="59"/>
      <c r="F202" s="95" t="s">
        <v>1603</v>
      </c>
      <c r="G202" s="60" t="s">
        <v>48</v>
      </c>
      <c r="H202" s="60" t="s">
        <v>17</v>
      </c>
      <c r="I202" s="60" t="s">
        <v>26</v>
      </c>
      <c r="J202" s="79" t="s">
        <v>66</v>
      </c>
    </row>
    <row r="203" spans="1:10" ht="15.75" customHeight="1" x14ac:dyDescent="0.3">
      <c r="A203" s="72" t="s">
        <v>589</v>
      </c>
      <c r="B203" s="53" t="s">
        <v>11</v>
      </c>
      <c r="C203" s="53" t="s">
        <v>45</v>
      </c>
      <c r="D203" s="54"/>
      <c r="E203" s="53" t="s">
        <v>690</v>
      </c>
      <c r="F203" s="93" t="s">
        <v>1608</v>
      </c>
      <c r="G203" s="54" t="s">
        <v>16</v>
      </c>
      <c r="H203" s="54" t="s">
        <v>65</v>
      </c>
      <c r="I203" s="54" t="s">
        <v>18</v>
      </c>
      <c r="J203" s="77" t="s">
        <v>143</v>
      </c>
    </row>
    <row r="204" spans="1:10" ht="15.75" customHeight="1" x14ac:dyDescent="0.3">
      <c r="A204" s="72" t="s">
        <v>699</v>
      </c>
      <c r="B204" s="53" t="s">
        <v>134</v>
      </c>
      <c r="C204" s="53" t="s">
        <v>119</v>
      </c>
      <c r="D204" s="54">
        <v>9109678994</v>
      </c>
      <c r="E204" s="53" t="s">
        <v>701</v>
      </c>
      <c r="F204" s="93" t="s">
        <v>1582</v>
      </c>
      <c r="G204" s="54" t="s">
        <v>16</v>
      </c>
      <c r="H204" s="54" t="s">
        <v>65</v>
      </c>
      <c r="I204" s="54" t="s">
        <v>26</v>
      </c>
      <c r="J204" s="77" t="s">
        <v>66</v>
      </c>
    </row>
    <row r="205" spans="1:10" ht="15.75" customHeight="1" x14ac:dyDescent="0.3">
      <c r="A205" s="75" t="s">
        <v>702</v>
      </c>
      <c r="B205" s="61" t="s">
        <v>157</v>
      </c>
      <c r="C205" s="61"/>
      <c r="D205" s="62">
        <v>9948014138</v>
      </c>
      <c r="E205" s="61"/>
      <c r="F205" s="96" t="s">
        <v>1594</v>
      </c>
      <c r="G205" s="62" t="s">
        <v>54</v>
      </c>
      <c r="H205" s="62" t="s">
        <v>25</v>
      </c>
      <c r="I205" s="62" t="s">
        <v>18</v>
      </c>
      <c r="J205" s="80" t="s">
        <v>143</v>
      </c>
    </row>
    <row r="206" spans="1:10" ht="15.75" customHeight="1" x14ac:dyDescent="0.3">
      <c r="A206" s="73" t="s">
        <v>705</v>
      </c>
      <c r="B206" s="55" t="s">
        <v>206</v>
      </c>
      <c r="C206" s="55" t="s">
        <v>45</v>
      </c>
      <c r="D206" s="56"/>
      <c r="E206" s="55" t="s">
        <v>706</v>
      </c>
      <c r="F206" s="94" t="s">
        <v>1555</v>
      </c>
      <c r="G206" s="56" t="s">
        <v>79</v>
      </c>
      <c r="H206" s="56" t="s">
        <v>42</v>
      </c>
      <c r="I206" s="56"/>
      <c r="J206" s="78"/>
    </row>
    <row r="207" spans="1:10" ht="15.75" customHeight="1" x14ac:dyDescent="0.3">
      <c r="A207" s="73" t="s">
        <v>707</v>
      </c>
      <c r="B207" s="55" t="s">
        <v>157</v>
      </c>
      <c r="C207" s="55" t="s">
        <v>22</v>
      </c>
      <c r="D207" s="56">
        <v>9845776004</v>
      </c>
      <c r="E207" s="55"/>
      <c r="F207" s="94" t="s">
        <v>1602</v>
      </c>
      <c r="G207" s="56" t="s">
        <v>79</v>
      </c>
      <c r="H207" s="56" t="s">
        <v>25</v>
      </c>
      <c r="I207" s="56" t="s">
        <v>26</v>
      </c>
      <c r="J207" s="78" t="s">
        <v>51</v>
      </c>
    </row>
    <row r="208" spans="1:10" ht="15.75" customHeight="1" x14ac:dyDescent="0.3">
      <c r="A208" s="74" t="s">
        <v>709</v>
      </c>
      <c r="B208" s="59" t="s">
        <v>193</v>
      </c>
      <c r="C208" s="59" t="s">
        <v>45</v>
      </c>
      <c r="D208" s="60">
        <v>9899210752</v>
      </c>
      <c r="E208" s="59" t="s">
        <v>711</v>
      </c>
      <c r="F208" s="95" t="s">
        <v>1594</v>
      </c>
      <c r="G208" s="60" t="s">
        <v>48</v>
      </c>
      <c r="H208" s="60" t="s">
        <v>42</v>
      </c>
      <c r="I208" s="60" t="s">
        <v>18</v>
      </c>
      <c r="J208" s="79" t="s">
        <v>19</v>
      </c>
    </row>
    <row r="209" spans="1:10" ht="15.75" customHeight="1" x14ac:dyDescent="0.3">
      <c r="A209" s="75" t="s">
        <v>713</v>
      </c>
      <c r="B209" s="61" t="s">
        <v>202</v>
      </c>
      <c r="C209" s="61" t="s">
        <v>22</v>
      </c>
      <c r="D209" s="62"/>
      <c r="E209" s="61" t="s">
        <v>714</v>
      </c>
      <c r="F209" s="96" t="s">
        <v>1520</v>
      </c>
      <c r="G209" s="62" t="s">
        <v>54</v>
      </c>
      <c r="H209" s="62" t="s">
        <v>49</v>
      </c>
      <c r="I209" s="62" t="s">
        <v>26</v>
      </c>
      <c r="J209" s="80"/>
    </row>
    <row r="210" spans="1:10" ht="15.75" customHeight="1" x14ac:dyDescent="0.3">
      <c r="A210" s="72" t="s">
        <v>715</v>
      </c>
      <c r="B210" s="53" t="s">
        <v>153</v>
      </c>
      <c r="C210" s="53" t="s">
        <v>12</v>
      </c>
      <c r="D210" s="54"/>
      <c r="E210" s="53" t="s">
        <v>716</v>
      </c>
      <c r="F210" s="93" t="s">
        <v>1556</v>
      </c>
      <c r="G210" s="54" t="s">
        <v>16</v>
      </c>
      <c r="H210" s="54" t="s">
        <v>17</v>
      </c>
      <c r="I210" s="54" t="s">
        <v>18</v>
      </c>
      <c r="J210" s="77" t="s">
        <v>91</v>
      </c>
    </row>
    <row r="211" spans="1:10" ht="15.75" customHeight="1" x14ac:dyDescent="0.3">
      <c r="A211" s="75" t="s">
        <v>717</v>
      </c>
      <c r="B211" s="61" t="s">
        <v>193</v>
      </c>
      <c r="C211" s="61" t="s">
        <v>37</v>
      </c>
      <c r="D211" s="62"/>
      <c r="E211" s="61" t="s">
        <v>718</v>
      </c>
      <c r="F211" s="96" t="s">
        <v>1607</v>
      </c>
      <c r="G211" s="62" t="s">
        <v>54</v>
      </c>
      <c r="H211" s="62" t="s">
        <v>1619</v>
      </c>
      <c r="I211" s="62"/>
      <c r="J211" s="80"/>
    </row>
    <row r="212" spans="1:10" ht="15.75" customHeight="1" x14ac:dyDescent="0.3">
      <c r="A212" s="72" t="s">
        <v>720</v>
      </c>
      <c r="B212" s="53" t="s">
        <v>157</v>
      </c>
      <c r="C212" s="53"/>
      <c r="D212" s="54">
        <v>9655355904</v>
      </c>
      <c r="E212" s="53" t="s">
        <v>722</v>
      </c>
      <c r="F212" s="93" t="s">
        <v>1549</v>
      </c>
      <c r="G212" s="54" t="s">
        <v>16</v>
      </c>
      <c r="H212" s="54" t="s">
        <v>1619</v>
      </c>
      <c r="I212" s="54"/>
      <c r="J212" s="77" t="s">
        <v>19</v>
      </c>
    </row>
    <row r="213" spans="1:10" ht="15.75" customHeight="1" x14ac:dyDescent="0.3">
      <c r="A213" s="75" t="s">
        <v>723</v>
      </c>
      <c r="B213" s="61" t="s">
        <v>597</v>
      </c>
      <c r="C213" s="61" t="s">
        <v>62</v>
      </c>
      <c r="D213" s="62">
        <v>9103924051</v>
      </c>
      <c r="E213" s="61"/>
      <c r="F213" s="96" t="s">
        <v>1515</v>
      </c>
      <c r="G213" s="62" t="s">
        <v>54</v>
      </c>
      <c r="H213" s="62" t="s">
        <v>72</v>
      </c>
      <c r="I213" s="62" t="s">
        <v>18</v>
      </c>
      <c r="J213" s="80" t="s">
        <v>91</v>
      </c>
    </row>
    <row r="214" spans="1:10" ht="15.75" customHeight="1" x14ac:dyDescent="0.3">
      <c r="A214" s="73" t="s">
        <v>726</v>
      </c>
      <c r="B214" s="55" t="s">
        <v>134</v>
      </c>
      <c r="C214" s="55" t="s">
        <v>62</v>
      </c>
      <c r="D214" s="56">
        <v>9042043940</v>
      </c>
      <c r="E214" s="55"/>
      <c r="F214" s="94" t="s">
        <v>1566</v>
      </c>
      <c r="G214" s="56" t="s">
        <v>79</v>
      </c>
      <c r="H214" s="56" t="s">
        <v>49</v>
      </c>
      <c r="I214" s="56" t="s">
        <v>18</v>
      </c>
      <c r="J214" s="78"/>
    </row>
    <row r="215" spans="1:10" ht="15.75" customHeight="1" x14ac:dyDescent="0.3">
      <c r="A215" s="73" t="s">
        <v>728</v>
      </c>
      <c r="B215" s="55" t="s">
        <v>597</v>
      </c>
      <c r="C215" s="55" t="s">
        <v>62</v>
      </c>
      <c r="D215" s="56">
        <v>9579812387</v>
      </c>
      <c r="E215" s="55"/>
      <c r="F215" s="94" t="s">
        <v>1582</v>
      </c>
      <c r="G215" s="56" t="s">
        <v>79</v>
      </c>
      <c r="H215" s="56" t="s">
        <v>125</v>
      </c>
      <c r="I215" s="56" t="s">
        <v>18</v>
      </c>
      <c r="J215" s="78" t="s">
        <v>51</v>
      </c>
    </row>
    <row r="216" spans="1:10" ht="15.75" customHeight="1" x14ac:dyDescent="0.3">
      <c r="A216" s="72" t="s">
        <v>730</v>
      </c>
      <c r="B216" s="53" t="s">
        <v>157</v>
      </c>
      <c r="C216" s="53" t="s">
        <v>22</v>
      </c>
      <c r="D216" s="54">
        <v>9404608432</v>
      </c>
      <c r="E216" s="53" t="s">
        <v>732</v>
      </c>
      <c r="F216" s="93" t="s">
        <v>1577</v>
      </c>
      <c r="G216" s="54" t="s">
        <v>16</v>
      </c>
      <c r="H216" s="54" t="s">
        <v>125</v>
      </c>
      <c r="I216" s="54" t="s">
        <v>26</v>
      </c>
      <c r="J216" s="77" t="s">
        <v>34</v>
      </c>
    </row>
    <row r="217" spans="1:10" ht="15.75" customHeight="1" x14ac:dyDescent="0.3">
      <c r="A217" s="76" t="s">
        <v>734</v>
      </c>
      <c r="B217" s="57" t="s">
        <v>157</v>
      </c>
      <c r="C217" s="57" t="s">
        <v>22</v>
      </c>
      <c r="D217" s="58"/>
      <c r="E217" s="57" t="s">
        <v>735</v>
      </c>
      <c r="F217" s="97" t="s">
        <v>1512</v>
      </c>
      <c r="G217" s="58" t="s">
        <v>111</v>
      </c>
      <c r="H217" s="58" t="s">
        <v>125</v>
      </c>
      <c r="I217" s="58" t="s">
        <v>26</v>
      </c>
      <c r="J217" s="81" t="s">
        <v>66</v>
      </c>
    </row>
    <row r="218" spans="1:10" ht="15.75" customHeight="1" x14ac:dyDescent="0.3">
      <c r="A218" s="73" t="s">
        <v>736</v>
      </c>
      <c r="B218" s="55" t="s">
        <v>157</v>
      </c>
      <c r="C218" s="55" t="s">
        <v>12</v>
      </c>
      <c r="D218" s="56">
        <v>9423122099</v>
      </c>
      <c r="E218" s="55" t="s">
        <v>738</v>
      </c>
      <c r="F218" s="94" t="s">
        <v>1594</v>
      </c>
      <c r="G218" s="56" t="s">
        <v>79</v>
      </c>
      <c r="H218" s="56" t="s">
        <v>83</v>
      </c>
      <c r="I218" s="56" t="s">
        <v>26</v>
      </c>
      <c r="J218" s="78" t="s">
        <v>27</v>
      </c>
    </row>
    <row r="219" spans="1:10" ht="15.75" customHeight="1" x14ac:dyDescent="0.3">
      <c r="A219" s="76" t="s">
        <v>717</v>
      </c>
      <c r="B219" s="57" t="s">
        <v>29</v>
      </c>
      <c r="C219" s="57" t="s">
        <v>119</v>
      </c>
      <c r="D219" s="58">
        <v>9722330604</v>
      </c>
      <c r="E219" s="57" t="s">
        <v>741</v>
      </c>
      <c r="F219" s="97" t="s">
        <v>1515</v>
      </c>
      <c r="G219" s="58" t="s">
        <v>111</v>
      </c>
      <c r="H219" s="58" t="s">
        <v>83</v>
      </c>
      <c r="I219" s="58"/>
      <c r="J219" s="81" t="s">
        <v>91</v>
      </c>
    </row>
    <row r="220" spans="1:10" ht="15.75" customHeight="1" x14ac:dyDescent="0.3">
      <c r="A220" s="72" t="s">
        <v>743</v>
      </c>
      <c r="B220" s="53" t="s">
        <v>157</v>
      </c>
      <c r="C220" s="53" t="s">
        <v>119</v>
      </c>
      <c r="D220" s="54">
        <v>9096569998</v>
      </c>
      <c r="E220" s="53" t="s">
        <v>745</v>
      </c>
      <c r="F220" s="93" t="s">
        <v>1547</v>
      </c>
      <c r="G220" s="54" t="s">
        <v>16</v>
      </c>
      <c r="H220" s="54" t="s">
        <v>49</v>
      </c>
      <c r="I220" s="54" t="s">
        <v>26</v>
      </c>
      <c r="J220" s="77" t="s">
        <v>27</v>
      </c>
    </row>
    <row r="221" spans="1:10" ht="15.75" customHeight="1" x14ac:dyDescent="0.3">
      <c r="A221" s="72" t="s">
        <v>747</v>
      </c>
      <c r="B221" s="53" t="s">
        <v>206</v>
      </c>
      <c r="C221" s="53" t="s">
        <v>45</v>
      </c>
      <c r="D221" s="54">
        <v>9347644726</v>
      </c>
      <c r="E221" s="53"/>
      <c r="F221" s="93" t="s">
        <v>1606</v>
      </c>
      <c r="G221" s="54" t="s">
        <v>16</v>
      </c>
      <c r="H221" s="54" t="s">
        <v>83</v>
      </c>
      <c r="I221" s="54" t="s">
        <v>18</v>
      </c>
      <c r="J221" s="77" t="s">
        <v>27</v>
      </c>
    </row>
    <row r="222" spans="1:10" ht="15.75" customHeight="1" x14ac:dyDescent="0.3">
      <c r="A222" s="76" t="s">
        <v>750</v>
      </c>
      <c r="B222" s="57" t="s">
        <v>202</v>
      </c>
      <c r="C222" s="57" t="s">
        <v>62</v>
      </c>
      <c r="D222" s="58"/>
      <c r="E222" s="57" t="s">
        <v>751</v>
      </c>
      <c r="F222" s="97" t="s">
        <v>1542</v>
      </c>
      <c r="G222" s="58" t="s">
        <v>111</v>
      </c>
      <c r="H222" s="58" t="s">
        <v>65</v>
      </c>
      <c r="I222" s="58" t="s">
        <v>18</v>
      </c>
      <c r="J222" s="81" t="s">
        <v>106</v>
      </c>
    </row>
    <row r="223" spans="1:10" ht="15.75" customHeight="1" x14ac:dyDescent="0.3">
      <c r="A223" s="73" t="s">
        <v>752</v>
      </c>
      <c r="B223" s="55" t="s">
        <v>29</v>
      </c>
      <c r="C223" s="55"/>
      <c r="D223" s="56">
        <v>9892686025</v>
      </c>
      <c r="E223" s="55" t="s">
        <v>754</v>
      </c>
      <c r="F223" s="94" t="s">
        <v>1516</v>
      </c>
      <c r="G223" s="56" t="s">
        <v>79</v>
      </c>
      <c r="H223" s="56" t="s">
        <v>72</v>
      </c>
      <c r="I223" s="56" t="s">
        <v>26</v>
      </c>
      <c r="J223" s="78" t="s">
        <v>91</v>
      </c>
    </row>
    <row r="224" spans="1:10" ht="15.75" customHeight="1" x14ac:dyDescent="0.3">
      <c r="A224" s="75" t="s">
        <v>756</v>
      </c>
      <c r="B224" s="61" t="s">
        <v>227</v>
      </c>
      <c r="C224" s="61"/>
      <c r="D224" s="62"/>
      <c r="E224" s="61"/>
      <c r="F224" s="96" t="s">
        <v>1605</v>
      </c>
      <c r="G224" s="62" t="s">
        <v>54</v>
      </c>
      <c r="H224" s="62" t="s">
        <v>83</v>
      </c>
      <c r="I224" s="62" t="s">
        <v>26</v>
      </c>
      <c r="J224" s="80"/>
    </row>
    <row r="225" spans="1:10" ht="15.75" customHeight="1" x14ac:dyDescent="0.3">
      <c r="A225" s="73" t="s">
        <v>758</v>
      </c>
      <c r="B225" s="55" t="s">
        <v>29</v>
      </c>
      <c r="C225" s="55" t="s">
        <v>37</v>
      </c>
      <c r="D225" s="56"/>
      <c r="E225" s="55"/>
      <c r="F225" s="94" t="s">
        <v>1575</v>
      </c>
      <c r="G225" s="56" t="s">
        <v>79</v>
      </c>
      <c r="H225" s="56" t="s">
        <v>49</v>
      </c>
      <c r="I225" s="56" t="s">
        <v>18</v>
      </c>
      <c r="J225" s="78"/>
    </row>
    <row r="226" spans="1:10" ht="15.75" customHeight="1" x14ac:dyDescent="0.3">
      <c r="A226" s="74" t="s">
        <v>760</v>
      </c>
      <c r="B226" s="59" t="s">
        <v>275</v>
      </c>
      <c r="C226" s="59" t="s">
        <v>45</v>
      </c>
      <c r="D226" s="60">
        <v>9982795014</v>
      </c>
      <c r="E226" s="59" t="s">
        <v>762</v>
      </c>
      <c r="F226" s="95" t="s">
        <v>1523</v>
      </c>
      <c r="G226" s="60" t="s">
        <v>48</v>
      </c>
      <c r="H226" s="60" t="s">
        <v>65</v>
      </c>
      <c r="I226" s="60" t="s">
        <v>26</v>
      </c>
      <c r="J226" s="79" t="s">
        <v>34</v>
      </c>
    </row>
    <row r="227" spans="1:10" ht="15.75" customHeight="1" x14ac:dyDescent="0.3">
      <c r="A227" s="76" t="s">
        <v>763</v>
      </c>
      <c r="B227" s="57" t="s">
        <v>157</v>
      </c>
      <c r="C227" s="57" t="s">
        <v>62</v>
      </c>
      <c r="D227" s="58">
        <v>9901981794</v>
      </c>
      <c r="E227" s="57" t="s">
        <v>765</v>
      </c>
      <c r="F227" s="97" t="s">
        <v>1557</v>
      </c>
      <c r="G227" s="58" t="s">
        <v>111</v>
      </c>
      <c r="H227" s="58" t="s">
        <v>83</v>
      </c>
      <c r="I227" s="58" t="s">
        <v>18</v>
      </c>
      <c r="J227" s="81" t="s">
        <v>91</v>
      </c>
    </row>
    <row r="228" spans="1:10" ht="15.75" customHeight="1" x14ac:dyDescent="0.3">
      <c r="A228" s="73" t="s">
        <v>767</v>
      </c>
      <c r="B228" s="55" t="s">
        <v>36</v>
      </c>
      <c r="C228" s="55" t="s">
        <v>22</v>
      </c>
      <c r="D228" s="56">
        <v>9301071396</v>
      </c>
      <c r="E228" s="55"/>
      <c r="F228" s="94" t="s">
        <v>1570</v>
      </c>
      <c r="G228" s="56" t="s">
        <v>79</v>
      </c>
      <c r="H228" s="56" t="s">
        <v>72</v>
      </c>
      <c r="I228" s="56" t="s">
        <v>18</v>
      </c>
      <c r="J228" s="78" t="s">
        <v>106</v>
      </c>
    </row>
    <row r="229" spans="1:10" ht="15.75" customHeight="1" x14ac:dyDescent="0.3">
      <c r="A229" s="76" t="s">
        <v>770</v>
      </c>
      <c r="B229" s="57" t="s">
        <v>227</v>
      </c>
      <c r="C229" s="57" t="s">
        <v>12</v>
      </c>
      <c r="D229" s="58">
        <v>9155699023</v>
      </c>
      <c r="E229" s="57" t="s">
        <v>772</v>
      </c>
      <c r="F229" s="97" t="s">
        <v>1521</v>
      </c>
      <c r="G229" s="58" t="s">
        <v>111</v>
      </c>
      <c r="H229" s="58" t="s">
        <v>83</v>
      </c>
      <c r="I229" s="58"/>
      <c r="J229" s="81" t="s">
        <v>27</v>
      </c>
    </row>
    <row r="230" spans="1:10" ht="15.75" customHeight="1" x14ac:dyDescent="0.3">
      <c r="A230" s="74" t="s">
        <v>774</v>
      </c>
      <c r="B230" s="59" t="s">
        <v>157</v>
      </c>
      <c r="C230" s="59" t="s">
        <v>119</v>
      </c>
      <c r="D230" s="60"/>
      <c r="E230" s="59" t="s">
        <v>775</v>
      </c>
      <c r="F230" s="95" t="s">
        <v>1537</v>
      </c>
      <c r="G230" s="60" t="s">
        <v>48</v>
      </c>
      <c r="H230" s="60" t="s">
        <v>17</v>
      </c>
      <c r="I230" s="60" t="s">
        <v>26</v>
      </c>
      <c r="J230" s="79" t="s">
        <v>27</v>
      </c>
    </row>
    <row r="231" spans="1:10" ht="15.75" customHeight="1" x14ac:dyDescent="0.3">
      <c r="A231" s="76" t="s">
        <v>777</v>
      </c>
      <c r="B231" s="57" t="s">
        <v>134</v>
      </c>
      <c r="C231" s="57" t="s">
        <v>22</v>
      </c>
      <c r="D231" s="58">
        <v>9145046173</v>
      </c>
      <c r="E231" s="57" t="s">
        <v>186</v>
      </c>
      <c r="F231" s="97" t="s">
        <v>1569</v>
      </c>
      <c r="G231" s="58" t="s">
        <v>111</v>
      </c>
      <c r="H231" s="58" t="s">
        <v>49</v>
      </c>
      <c r="I231" s="58"/>
      <c r="J231" s="81" t="s">
        <v>19</v>
      </c>
    </row>
    <row r="232" spans="1:10" ht="15.75" customHeight="1" x14ac:dyDescent="0.3">
      <c r="A232" s="75" t="s">
        <v>779</v>
      </c>
      <c r="B232" s="61" t="s">
        <v>202</v>
      </c>
      <c r="C232" s="61"/>
      <c r="D232" s="62"/>
      <c r="E232" s="61" t="s">
        <v>95</v>
      </c>
      <c r="F232" s="96" t="s">
        <v>1591</v>
      </c>
      <c r="G232" s="62" t="s">
        <v>54</v>
      </c>
      <c r="H232" s="62" t="s">
        <v>83</v>
      </c>
      <c r="I232" s="62" t="s">
        <v>26</v>
      </c>
      <c r="J232" s="80" t="s">
        <v>27</v>
      </c>
    </row>
    <row r="233" spans="1:10" ht="15.75" customHeight="1" x14ac:dyDescent="0.3">
      <c r="A233" s="74" t="s">
        <v>780</v>
      </c>
      <c r="B233" s="59" t="s">
        <v>202</v>
      </c>
      <c r="C233" s="59" t="s">
        <v>37</v>
      </c>
      <c r="D233" s="60"/>
      <c r="E233" s="59" t="s">
        <v>781</v>
      </c>
      <c r="F233" s="95" t="s">
        <v>1568</v>
      </c>
      <c r="G233" s="60" t="s">
        <v>48</v>
      </c>
      <c r="H233" s="60" t="s">
        <v>17</v>
      </c>
      <c r="I233" s="60"/>
      <c r="J233" s="79" t="s">
        <v>91</v>
      </c>
    </row>
    <row r="234" spans="1:10" ht="15.75" customHeight="1" x14ac:dyDescent="0.3">
      <c r="A234" s="76" t="s">
        <v>782</v>
      </c>
      <c r="B234" s="57" t="s">
        <v>202</v>
      </c>
      <c r="C234" s="57" t="s">
        <v>12</v>
      </c>
      <c r="D234" s="58">
        <v>9098813858</v>
      </c>
      <c r="E234" s="57" t="s">
        <v>784</v>
      </c>
      <c r="F234" s="97" t="s">
        <v>1557</v>
      </c>
      <c r="G234" s="58" t="s">
        <v>111</v>
      </c>
      <c r="H234" s="58" t="s">
        <v>1619</v>
      </c>
      <c r="I234" s="58" t="s">
        <v>18</v>
      </c>
      <c r="J234" s="81" t="s">
        <v>51</v>
      </c>
    </row>
    <row r="235" spans="1:10" ht="15.75" customHeight="1" x14ac:dyDescent="0.3">
      <c r="A235" s="73" t="s">
        <v>785</v>
      </c>
      <c r="B235" s="55" t="s">
        <v>29</v>
      </c>
      <c r="C235" s="55" t="s">
        <v>119</v>
      </c>
      <c r="D235" s="56"/>
      <c r="E235" s="55" t="s">
        <v>786</v>
      </c>
      <c r="F235" s="94" t="s">
        <v>1555</v>
      </c>
      <c r="G235" s="56" t="s">
        <v>79</v>
      </c>
      <c r="H235" s="56" t="s">
        <v>65</v>
      </c>
      <c r="I235" s="56"/>
      <c r="J235" s="78" t="s">
        <v>91</v>
      </c>
    </row>
    <row r="236" spans="1:10" ht="15.75" customHeight="1" x14ac:dyDescent="0.3">
      <c r="A236" s="73" t="s">
        <v>787</v>
      </c>
      <c r="B236" s="55" t="s">
        <v>134</v>
      </c>
      <c r="C236" s="55" t="s">
        <v>62</v>
      </c>
      <c r="D236" s="56">
        <v>9174773329</v>
      </c>
      <c r="E236" s="55" t="s">
        <v>789</v>
      </c>
      <c r="F236" s="94" t="s">
        <v>1560</v>
      </c>
      <c r="G236" s="56" t="s">
        <v>79</v>
      </c>
      <c r="H236" s="56" t="s">
        <v>49</v>
      </c>
      <c r="I236" s="56" t="s">
        <v>18</v>
      </c>
      <c r="J236" s="78" t="s">
        <v>91</v>
      </c>
    </row>
    <row r="237" spans="1:10" ht="15.75" customHeight="1" x14ac:dyDescent="0.3">
      <c r="A237" s="72" t="s">
        <v>791</v>
      </c>
      <c r="B237" s="53" t="s">
        <v>202</v>
      </c>
      <c r="C237" s="53"/>
      <c r="D237" s="54">
        <v>9459928161</v>
      </c>
      <c r="E237" s="53"/>
      <c r="F237" s="93" t="s">
        <v>1579</v>
      </c>
      <c r="G237" s="54" t="s">
        <v>16</v>
      </c>
      <c r="H237" s="54" t="s">
        <v>25</v>
      </c>
      <c r="I237" s="54" t="s">
        <v>18</v>
      </c>
      <c r="J237" s="77" t="s">
        <v>19</v>
      </c>
    </row>
    <row r="238" spans="1:10" ht="15.75" customHeight="1" x14ac:dyDescent="0.3">
      <c r="A238" s="73" t="s">
        <v>793</v>
      </c>
      <c r="B238" s="55" t="s">
        <v>134</v>
      </c>
      <c r="C238" s="55" t="s">
        <v>12</v>
      </c>
      <c r="D238" s="56"/>
      <c r="E238" s="55" t="s">
        <v>794</v>
      </c>
      <c r="F238" s="94" t="s">
        <v>1511</v>
      </c>
      <c r="G238" s="56" t="s">
        <v>79</v>
      </c>
      <c r="H238" s="56" t="s">
        <v>83</v>
      </c>
      <c r="I238" s="56" t="s">
        <v>26</v>
      </c>
      <c r="J238" s="78" t="s">
        <v>34</v>
      </c>
    </row>
    <row r="239" spans="1:10" ht="15.75" customHeight="1" x14ac:dyDescent="0.3">
      <c r="A239" s="74" t="s">
        <v>795</v>
      </c>
      <c r="B239" s="59" t="s">
        <v>206</v>
      </c>
      <c r="C239" s="59" t="s">
        <v>62</v>
      </c>
      <c r="D239" s="60"/>
      <c r="E239" s="59"/>
      <c r="F239" s="95" t="s">
        <v>1603</v>
      </c>
      <c r="G239" s="60" t="s">
        <v>48</v>
      </c>
      <c r="H239" s="60" t="s">
        <v>83</v>
      </c>
      <c r="I239" s="60" t="s">
        <v>26</v>
      </c>
      <c r="J239" s="79" t="s">
        <v>19</v>
      </c>
    </row>
    <row r="240" spans="1:10" ht="15.75" customHeight="1" x14ac:dyDescent="0.3">
      <c r="A240" s="73" t="s">
        <v>796</v>
      </c>
      <c r="B240" s="55" t="s">
        <v>157</v>
      </c>
      <c r="C240" s="55" t="s">
        <v>62</v>
      </c>
      <c r="D240" s="56"/>
      <c r="E240" s="55" t="s">
        <v>797</v>
      </c>
      <c r="F240" s="94" t="s">
        <v>1561</v>
      </c>
      <c r="G240" s="56" t="s">
        <v>79</v>
      </c>
      <c r="H240" s="56" t="s">
        <v>72</v>
      </c>
      <c r="I240" s="56"/>
      <c r="J240" s="78" t="s">
        <v>66</v>
      </c>
    </row>
    <row r="241" spans="1:10" ht="15.75" customHeight="1" x14ac:dyDescent="0.3">
      <c r="A241" s="74" t="s">
        <v>799</v>
      </c>
      <c r="B241" s="59" t="s">
        <v>597</v>
      </c>
      <c r="C241" s="59" t="s">
        <v>119</v>
      </c>
      <c r="D241" s="60">
        <v>9666683272</v>
      </c>
      <c r="E241" s="59" t="s">
        <v>801</v>
      </c>
      <c r="F241" s="95" t="s">
        <v>1520</v>
      </c>
      <c r="G241" s="60" t="s">
        <v>48</v>
      </c>
      <c r="H241" s="60" t="s">
        <v>125</v>
      </c>
      <c r="I241" s="60" t="s">
        <v>26</v>
      </c>
      <c r="J241" s="79" t="s">
        <v>66</v>
      </c>
    </row>
    <row r="242" spans="1:10" ht="15.75" customHeight="1" x14ac:dyDescent="0.3">
      <c r="A242" s="75" t="s">
        <v>803</v>
      </c>
      <c r="B242" s="61" t="s">
        <v>202</v>
      </c>
      <c r="C242" s="61" t="s">
        <v>119</v>
      </c>
      <c r="D242" s="62">
        <v>9212679692</v>
      </c>
      <c r="E242" s="61" t="s">
        <v>805</v>
      </c>
      <c r="F242" s="96" t="s">
        <v>1566</v>
      </c>
      <c r="G242" s="62" t="s">
        <v>54</v>
      </c>
      <c r="H242" s="62" t="s">
        <v>49</v>
      </c>
      <c r="I242" s="62" t="s">
        <v>18</v>
      </c>
      <c r="J242" s="80" t="s">
        <v>91</v>
      </c>
    </row>
    <row r="243" spans="1:10" ht="15.75" customHeight="1" x14ac:dyDescent="0.3">
      <c r="A243" s="72" t="s">
        <v>806</v>
      </c>
      <c r="B243" s="53" t="s">
        <v>597</v>
      </c>
      <c r="C243" s="53" t="s">
        <v>45</v>
      </c>
      <c r="D243" s="54"/>
      <c r="E243" s="53"/>
      <c r="F243" s="93" t="s">
        <v>1569</v>
      </c>
      <c r="G243" s="54" t="s">
        <v>16</v>
      </c>
      <c r="H243" s="54" t="s">
        <v>65</v>
      </c>
      <c r="I243" s="54" t="s">
        <v>26</v>
      </c>
      <c r="J243" s="77" t="s">
        <v>91</v>
      </c>
    </row>
    <row r="244" spans="1:10" ht="15.75" customHeight="1" x14ac:dyDescent="0.3">
      <c r="A244" s="73" t="s">
        <v>807</v>
      </c>
      <c r="B244" s="55" t="s">
        <v>202</v>
      </c>
      <c r="C244" s="55" t="s">
        <v>12</v>
      </c>
      <c r="D244" s="56"/>
      <c r="E244" s="55" t="s">
        <v>808</v>
      </c>
      <c r="F244" s="94" t="s">
        <v>1508</v>
      </c>
      <c r="G244" s="56" t="s">
        <v>79</v>
      </c>
      <c r="H244" s="56" t="s">
        <v>72</v>
      </c>
      <c r="I244" s="56" t="s">
        <v>26</v>
      </c>
      <c r="J244" s="78" t="s">
        <v>34</v>
      </c>
    </row>
    <row r="245" spans="1:10" ht="15.75" customHeight="1" x14ac:dyDescent="0.3">
      <c r="A245" s="74" t="s">
        <v>810</v>
      </c>
      <c r="B245" s="59" t="s">
        <v>193</v>
      </c>
      <c r="C245" s="59" t="s">
        <v>22</v>
      </c>
      <c r="D245" s="60">
        <v>9049047128</v>
      </c>
      <c r="E245" s="59" t="s">
        <v>812</v>
      </c>
      <c r="F245" s="95" t="s">
        <v>1509</v>
      </c>
      <c r="G245" s="60" t="s">
        <v>48</v>
      </c>
      <c r="H245" s="60" t="s">
        <v>49</v>
      </c>
      <c r="I245" s="60" t="s">
        <v>26</v>
      </c>
      <c r="J245" s="79" t="s">
        <v>106</v>
      </c>
    </row>
    <row r="246" spans="1:10" ht="15.75" customHeight="1" x14ac:dyDescent="0.3">
      <c r="A246" s="72" t="s">
        <v>813</v>
      </c>
      <c r="B246" s="53" t="s">
        <v>134</v>
      </c>
      <c r="C246" s="53" t="s">
        <v>62</v>
      </c>
      <c r="D246" s="54">
        <v>9524372805</v>
      </c>
      <c r="E246" s="53" t="s">
        <v>815</v>
      </c>
      <c r="F246" s="93" t="s">
        <v>1550</v>
      </c>
      <c r="G246" s="54" t="s">
        <v>16</v>
      </c>
      <c r="H246" s="54" t="s">
        <v>83</v>
      </c>
      <c r="I246" s="54" t="s">
        <v>26</v>
      </c>
      <c r="J246" s="77" t="s">
        <v>143</v>
      </c>
    </row>
    <row r="247" spans="1:10" ht="15.75" customHeight="1" x14ac:dyDescent="0.3">
      <c r="A247" s="72" t="s">
        <v>816</v>
      </c>
      <c r="B247" s="53" t="s">
        <v>597</v>
      </c>
      <c r="C247" s="53" t="s">
        <v>12</v>
      </c>
      <c r="D247" s="54"/>
      <c r="E247" s="53" t="s">
        <v>817</v>
      </c>
      <c r="F247" s="93" t="s">
        <v>1577</v>
      </c>
      <c r="G247" s="54" t="s">
        <v>16</v>
      </c>
      <c r="H247" s="54" t="s">
        <v>42</v>
      </c>
      <c r="I247" s="54" t="s">
        <v>18</v>
      </c>
      <c r="J247" s="77" t="s">
        <v>34</v>
      </c>
    </row>
    <row r="248" spans="1:10" ht="15.75" customHeight="1" x14ac:dyDescent="0.3">
      <c r="A248" s="72" t="s">
        <v>341</v>
      </c>
      <c r="B248" s="53" t="s">
        <v>29</v>
      </c>
      <c r="C248" s="53" t="s">
        <v>45</v>
      </c>
      <c r="D248" s="54"/>
      <c r="E248" s="53"/>
      <c r="F248" s="93" t="s">
        <v>1530</v>
      </c>
      <c r="G248" s="54" t="s">
        <v>16</v>
      </c>
      <c r="H248" s="54" t="s">
        <v>25</v>
      </c>
      <c r="I248" s="54" t="s">
        <v>26</v>
      </c>
      <c r="J248" s="77" t="s">
        <v>19</v>
      </c>
    </row>
    <row r="249" spans="1:10" ht="15.75" customHeight="1" x14ac:dyDescent="0.3">
      <c r="A249" s="73" t="s">
        <v>818</v>
      </c>
      <c r="B249" s="55" t="s">
        <v>157</v>
      </c>
      <c r="C249" s="55" t="s">
        <v>37</v>
      </c>
      <c r="D249" s="56"/>
      <c r="E249" s="55"/>
      <c r="F249" s="94" t="s">
        <v>1593</v>
      </c>
      <c r="G249" s="56" t="s">
        <v>79</v>
      </c>
      <c r="H249" s="56" t="s">
        <v>25</v>
      </c>
      <c r="I249" s="56" t="s">
        <v>18</v>
      </c>
      <c r="J249" s="78" t="s">
        <v>106</v>
      </c>
    </row>
    <row r="250" spans="1:10" ht="15.75" customHeight="1" x14ac:dyDescent="0.3">
      <c r="A250" s="76" t="s">
        <v>820</v>
      </c>
      <c r="B250" s="57" t="s">
        <v>202</v>
      </c>
      <c r="C250" s="57" t="s">
        <v>22</v>
      </c>
      <c r="D250" s="58">
        <v>9921244717</v>
      </c>
      <c r="E250" s="57" t="s">
        <v>822</v>
      </c>
      <c r="F250" s="97" t="s">
        <v>1601</v>
      </c>
      <c r="G250" s="58" t="s">
        <v>111</v>
      </c>
      <c r="H250" s="58" t="s">
        <v>72</v>
      </c>
      <c r="I250" s="58"/>
      <c r="J250" s="81" t="s">
        <v>66</v>
      </c>
    </row>
    <row r="251" spans="1:10" ht="15.75" customHeight="1" x14ac:dyDescent="0.3">
      <c r="A251" s="72" t="s">
        <v>824</v>
      </c>
      <c r="B251" s="53" t="s">
        <v>206</v>
      </c>
      <c r="C251" s="53" t="s">
        <v>37</v>
      </c>
      <c r="D251" s="54"/>
      <c r="E251" s="53"/>
      <c r="F251" s="93" t="s">
        <v>1556</v>
      </c>
      <c r="G251" s="54" t="s">
        <v>16</v>
      </c>
      <c r="H251" s="54" t="s">
        <v>72</v>
      </c>
      <c r="I251" s="54" t="s">
        <v>18</v>
      </c>
      <c r="J251" s="77" t="s">
        <v>66</v>
      </c>
    </row>
    <row r="252" spans="1:10" ht="15.75" customHeight="1" x14ac:dyDescent="0.3">
      <c r="A252" s="72" t="s">
        <v>826</v>
      </c>
      <c r="B252" s="53" t="s">
        <v>202</v>
      </c>
      <c r="C252" s="53" t="s">
        <v>12</v>
      </c>
      <c r="D252" s="54">
        <v>9072006425</v>
      </c>
      <c r="E252" s="53" t="s">
        <v>828</v>
      </c>
      <c r="F252" s="93" t="s">
        <v>1596</v>
      </c>
      <c r="G252" s="54" t="s">
        <v>16</v>
      </c>
      <c r="H252" s="54" t="s">
        <v>65</v>
      </c>
      <c r="I252" s="54" t="s">
        <v>18</v>
      </c>
      <c r="J252" s="77" t="s">
        <v>19</v>
      </c>
    </row>
    <row r="253" spans="1:10" ht="15.75" customHeight="1" x14ac:dyDescent="0.3">
      <c r="A253" s="75" t="s">
        <v>829</v>
      </c>
      <c r="B253" s="61" t="s">
        <v>193</v>
      </c>
      <c r="C253" s="61"/>
      <c r="D253" s="62">
        <v>9198554601</v>
      </c>
      <c r="E253" s="61" t="s">
        <v>831</v>
      </c>
      <c r="F253" s="96" t="s">
        <v>1538</v>
      </c>
      <c r="G253" s="62" t="s">
        <v>54</v>
      </c>
      <c r="H253" s="62" t="s">
        <v>49</v>
      </c>
      <c r="I253" s="62" t="s">
        <v>26</v>
      </c>
      <c r="J253" s="80" t="s">
        <v>19</v>
      </c>
    </row>
    <row r="254" spans="1:10" ht="15.75" customHeight="1" x14ac:dyDescent="0.3">
      <c r="A254" s="72" t="s">
        <v>832</v>
      </c>
      <c r="B254" s="53" t="s">
        <v>227</v>
      </c>
      <c r="C254" s="53" t="s">
        <v>62</v>
      </c>
      <c r="D254" s="54">
        <v>9717320309</v>
      </c>
      <c r="E254" s="53"/>
      <c r="F254" s="93" t="s">
        <v>1540</v>
      </c>
      <c r="G254" s="54" t="s">
        <v>16</v>
      </c>
      <c r="H254" s="54" t="s">
        <v>83</v>
      </c>
      <c r="I254" s="54" t="s">
        <v>18</v>
      </c>
      <c r="J254" s="77" t="s">
        <v>66</v>
      </c>
    </row>
    <row r="255" spans="1:10" ht="15.75" customHeight="1" x14ac:dyDescent="0.3">
      <c r="A255" s="73" t="s">
        <v>834</v>
      </c>
      <c r="B255" s="55" t="s">
        <v>157</v>
      </c>
      <c r="C255" s="55" t="s">
        <v>62</v>
      </c>
      <c r="D255" s="56">
        <v>9613878293</v>
      </c>
      <c r="E255" s="55"/>
      <c r="F255" s="94" t="s">
        <v>1516</v>
      </c>
      <c r="G255" s="56" t="s">
        <v>79</v>
      </c>
      <c r="H255" s="56" t="s">
        <v>49</v>
      </c>
      <c r="I255" s="56" t="s">
        <v>26</v>
      </c>
      <c r="J255" s="78" t="s">
        <v>143</v>
      </c>
    </row>
    <row r="256" spans="1:10" ht="15.75" customHeight="1" x14ac:dyDescent="0.3">
      <c r="A256" s="73" t="s">
        <v>837</v>
      </c>
      <c r="B256" s="55" t="s">
        <v>193</v>
      </c>
      <c r="C256" s="55" t="s">
        <v>12</v>
      </c>
      <c r="D256" s="56"/>
      <c r="E256" s="55"/>
      <c r="F256" s="94" t="s">
        <v>1568</v>
      </c>
      <c r="G256" s="56" t="s">
        <v>79</v>
      </c>
      <c r="H256" s="56" t="s">
        <v>42</v>
      </c>
      <c r="I256" s="56" t="s">
        <v>18</v>
      </c>
      <c r="J256" s="78" t="s">
        <v>106</v>
      </c>
    </row>
    <row r="257" spans="1:10" ht="15.75" customHeight="1" x14ac:dyDescent="0.3">
      <c r="A257" s="76" t="s">
        <v>839</v>
      </c>
      <c r="B257" s="57" t="s">
        <v>134</v>
      </c>
      <c r="C257" s="57"/>
      <c r="D257" s="58">
        <v>9092511426</v>
      </c>
      <c r="E257" s="57" t="s">
        <v>841</v>
      </c>
      <c r="F257" s="97" t="s">
        <v>1582</v>
      </c>
      <c r="G257" s="58" t="s">
        <v>111</v>
      </c>
      <c r="H257" s="58" t="s">
        <v>42</v>
      </c>
      <c r="I257" s="58"/>
      <c r="J257" s="81" t="s">
        <v>143</v>
      </c>
    </row>
    <row r="258" spans="1:10" ht="15.75" customHeight="1" x14ac:dyDescent="0.3">
      <c r="A258" s="76" t="s">
        <v>842</v>
      </c>
      <c r="B258" s="57" t="s">
        <v>193</v>
      </c>
      <c r="C258" s="57"/>
      <c r="D258" s="58"/>
      <c r="E258" s="57" t="s">
        <v>843</v>
      </c>
      <c r="F258" s="97" t="s">
        <v>1558</v>
      </c>
      <c r="G258" s="58" t="s">
        <v>111</v>
      </c>
      <c r="H258" s="58" t="s">
        <v>65</v>
      </c>
      <c r="I258" s="58" t="s">
        <v>26</v>
      </c>
      <c r="J258" s="81" t="s">
        <v>34</v>
      </c>
    </row>
    <row r="259" spans="1:10" ht="15.75" customHeight="1" x14ac:dyDescent="0.3">
      <c r="A259" s="72" t="s">
        <v>844</v>
      </c>
      <c r="B259" s="53" t="s">
        <v>157</v>
      </c>
      <c r="C259" s="53"/>
      <c r="D259" s="54">
        <v>9318195883</v>
      </c>
      <c r="E259" s="53" t="s">
        <v>846</v>
      </c>
      <c r="F259" s="93" t="s">
        <v>1599</v>
      </c>
      <c r="G259" s="54" t="s">
        <v>16</v>
      </c>
      <c r="H259" s="54" t="s">
        <v>83</v>
      </c>
      <c r="I259" s="54" t="s">
        <v>26</v>
      </c>
      <c r="J259" s="77" t="s">
        <v>143</v>
      </c>
    </row>
    <row r="260" spans="1:10" ht="15.75" customHeight="1" x14ac:dyDescent="0.3">
      <c r="A260" s="76" t="s">
        <v>847</v>
      </c>
      <c r="B260" s="57" t="s">
        <v>134</v>
      </c>
      <c r="C260" s="57"/>
      <c r="D260" s="58"/>
      <c r="E260" s="57"/>
      <c r="F260" s="97" t="s">
        <v>1585</v>
      </c>
      <c r="G260" s="58" t="s">
        <v>111</v>
      </c>
      <c r="H260" s="58" t="s">
        <v>83</v>
      </c>
      <c r="I260" s="58" t="s">
        <v>18</v>
      </c>
      <c r="J260" s="81" t="s">
        <v>106</v>
      </c>
    </row>
    <row r="261" spans="1:10" ht="15.75" customHeight="1" x14ac:dyDescent="0.3">
      <c r="A261" s="72" t="s">
        <v>849</v>
      </c>
      <c r="B261" s="53" t="s">
        <v>202</v>
      </c>
      <c r="C261" s="53" t="s">
        <v>45</v>
      </c>
      <c r="D261" s="54">
        <v>9563531531</v>
      </c>
      <c r="E261" s="53" t="s">
        <v>851</v>
      </c>
      <c r="F261" s="93" t="s">
        <v>1604</v>
      </c>
      <c r="G261" s="54" t="s">
        <v>16</v>
      </c>
      <c r="H261" s="54" t="s">
        <v>49</v>
      </c>
      <c r="I261" s="54" t="s">
        <v>26</v>
      </c>
      <c r="J261" s="77" t="s">
        <v>143</v>
      </c>
    </row>
    <row r="262" spans="1:10" ht="15.75" customHeight="1" x14ac:dyDescent="0.3">
      <c r="A262" s="72" t="s">
        <v>852</v>
      </c>
      <c r="B262" s="53" t="s">
        <v>597</v>
      </c>
      <c r="C262" s="53" t="s">
        <v>119</v>
      </c>
      <c r="D262" s="54"/>
      <c r="E262" s="53" t="s">
        <v>853</v>
      </c>
      <c r="F262" s="93" t="s">
        <v>1588</v>
      </c>
      <c r="G262" s="54" t="s">
        <v>16</v>
      </c>
      <c r="H262" s="54" t="s">
        <v>17</v>
      </c>
      <c r="I262" s="54" t="s">
        <v>26</v>
      </c>
      <c r="J262" s="77" t="s">
        <v>34</v>
      </c>
    </row>
    <row r="263" spans="1:10" ht="15.75" customHeight="1" x14ac:dyDescent="0.3">
      <c r="A263" s="75" t="s">
        <v>855</v>
      </c>
      <c r="B263" s="61" t="s">
        <v>134</v>
      </c>
      <c r="C263" s="61" t="s">
        <v>45</v>
      </c>
      <c r="D263" s="62">
        <v>9316873977</v>
      </c>
      <c r="E263" s="61"/>
      <c r="F263" s="96" t="s">
        <v>1523</v>
      </c>
      <c r="G263" s="62" t="s">
        <v>54</v>
      </c>
      <c r="H263" s="62" t="s">
        <v>25</v>
      </c>
      <c r="I263" s="62" t="s">
        <v>18</v>
      </c>
      <c r="J263" s="80" t="s">
        <v>143</v>
      </c>
    </row>
    <row r="264" spans="1:10" ht="15.75" customHeight="1" x14ac:dyDescent="0.3">
      <c r="A264" s="75" t="s">
        <v>858</v>
      </c>
      <c r="B264" s="61" t="s">
        <v>193</v>
      </c>
      <c r="C264" s="61" t="s">
        <v>37</v>
      </c>
      <c r="D264" s="62">
        <v>9806867177</v>
      </c>
      <c r="E264" s="61"/>
      <c r="F264" s="96" t="s">
        <v>1545</v>
      </c>
      <c r="G264" s="62" t="s">
        <v>54</v>
      </c>
      <c r="H264" s="62" t="s">
        <v>72</v>
      </c>
      <c r="I264" s="62" t="s">
        <v>26</v>
      </c>
      <c r="J264" s="80" t="s">
        <v>106</v>
      </c>
    </row>
    <row r="265" spans="1:10" ht="15.75" customHeight="1" x14ac:dyDescent="0.3">
      <c r="A265" s="73" t="s">
        <v>861</v>
      </c>
      <c r="B265" s="55" t="s">
        <v>193</v>
      </c>
      <c r="C265" s="55" t="s">
        <v>22</v>
      </c>
      <c r="D265" s="56"/>
      <c r="E265" s="55" t="s">
        <v>862</v>
      </c>
      <c r="F265" s="94" t="s">
        <v>1535</v>
      </c>
      <c r="G265" s="56" t="s">
        <v>79</v>
      </c>
      <c r="H265" s="56" t="s">
        <v>72</v>
      </c>
      <c r="I265" s="56" t="s">
        <v>26</v>
      </c>
      <c r="J265" s="78" t="s">
        <v>34</v>
      </c>
    </row>
    <row r="266" spans="1:10" ht="15.75" customHeight="1" x14ac:dyDescent="0.3">
      <c r="A266" s="76" t="s">
        <v>864</v>
      </c>
      <c r="B266" s="57" t="s">
        <v>597</v>
      </c>
      <c r="C266" s="57" t="s">
        <v>12</v>
      </c>
      <c r="D266" s="58">
        <v>9850165790</v>
      </c>
      <c r="E266" s="57" t="s">
        <v>324</v>
      </c>
      <c r="F266" s="97" t="s">
        <v>1537</v>
      </c>
      <c r="G266" s="58" t="s">
        <v>111</v>
      </c>
      <c r="H266" s="58" t="s">
        <v>25</v>
      </c>
      <c r="I266" s="58" t="s">
        <v>18</v>
      </c>
      <c r="J266" s="81" t="s">
        <v>106</v>
      </c>
    </row>
    <row r="267" spans="1:10" ht="15.75" customHeight="1" x14ac:dyDescent="0.3">
      <c r="A267" s="72" t="s">
        <v>866</v>
      </c>
      <c r="B267" s="53" t="s">
        <v>36</v>
      </c>
      <c r="C267" s="53"/>
      <c r="D267" s="54">
        <v>9554864015</v>
      </c>
      <c r="E267" s="53" t="s">
        <v>868</v>
      </c>
      <c r="F267" s="93" t="s">
        <v>1521</v>
      </c>
      <c r="G267" s="54" t="s">
        <v>16</v>
      </c>
      <c r="H267" s="54" t="s">
        <v>65</v>
      </c>
      <c r="I267" s="54" t="s">
        <v>26</v>
      </c>
      <c r="J267" s="77" t="s">
        <v>91</v>
      </c>
    </row>
    <row r="268" spans="1:10" ht="15.75" customHeight="1" x14ac:dyDescent="0.3">
      <c r="A268" s="72" t="s">
        <v>869</v>
      </c>
      <c r="B268" s="53" t="s">
        <v>202</v>
      </c>
      <c r="C268" s="53" t="s">
        <v>22</v>
      </c>
      <c r="D268" s="54">
        <v>9112412723</v>
      </c>
      <c r="E268" s="53"/>
      <c r="F268" s="93" t="s">
        <v>1520</v>
      </c>
      <c r="G268" s="54" t="s">
        <v>16</v>
      </c>
      <c r="H268" s="54" t="s">
        <v>83</v>
      </c>
      <c r="I268" s="54" t="s">
        <v>26</v>
      </c>
      <c r="J268" s="77" t="s">
        <v>66</v>
      </c>
    </row>
    <row r="269" spans="1:10" ht="15.75" customHeight="1" x14ac:dyDescent="0.3">
      <c r="A269" s="76" t="s">
        <v>310</v>
      </c>
      <c r="B269" s="57" t="s">
        <v>227</v>
      </c>
      <c r="C269" s="57"/>
      <c r="D269" s="58"/>
      <c r="E269" s="57" t="s">
        <v>871</v>
      </c>
      <c r="F269" s="97" t="s">
        <v>1598</v>
      </c>
      <c r="G269" s="58" t="s">
        <v>111</v>
      </c>
      <c r="H269" s="58" t="s">
        <v>25</v>
      </c>
      <c r="I269" s="58" t="s">
        <v>26</v>
      </c>
      <c r="J269" s="81" t="s">
        <v>51</v>
      </c>
    </row>
    <row r="270" spans="1:10" ht="15.75" customHeight="1" x14ac:dyDescent="0.3">
      <c r="A270" s="72" t="s">
        <v>872</v>
      </c>
      <c r="B270" s="53" t="s">
        <v>227</v>
      </c>
      <c r="C270" s="53" t="s">
        <v>12</v>
      </c>
      <c r="D270" s="54">
        <v>9292842222</v>
      </c>
      <c r="E270" s="53"/>
      <c r="F270" s="93" t="s">
        <v>1513</v>
      </c>
      <c r="G270" s="54" t="s">
        <v>16</v>
      </c>
      <c r="H270" s="54" t="s">
        <v>125</v>
      </c>
      <c r="I270" s="54" t="s">
        <v>26</v>
      </c>
      <c r="J270" s="77" t="s">
        <v>27</v>
      </c>
    </row>
    <row r="271" spans="1:10" ht="15.75" customHeight="1" x14ac:dyDescent="0.3">
      <c r="A271" s="73" t="s">
        <v>874</v>
      </c>
      <c r="B271" s="55" t="s">
        <v>193</v>
      </c>
      <c r="C271" s="55" t="s">
        <v>12</v>
      </c>
      <c r="D271" s="56">
        <v>9578284106</v>
      </c>
      <c r="E271" s="55" t="s">
        <v>876</v>
      </c>
      <c r="F271" s="94" t="s">
        <v>1603</v>
      </c>
      <c r="G271" s="56" t="s">
        <v>79</v>
      </c>
      <c r="H271" s="56" t="s">
        <v>72</v>
      </c>
      <c r="I271" s="56" t="s">
        <v>26</v>
      </c>
      <c r="J271" s="78" t="s">
        <v>34</v>
      </c>
    </row>
    <row r="272" spans="1:10" ht="15.75" customHeight="1" x14ac:dyDescent="0.3">
      <c r="A272" s="75" t="s">
        <v>358</v>
      </c>
      <c r="B272" s="61" t="s">
        <v>134</v>
      </c>
      <c r="C272" s="61" t="s">
        <v>119</v>
      </c>
      <c r="D272" s="62">
        <v>9170281406</v>
      </c>
      <c r="E272" s="61" t="s">
        <v>879</v>
      </c>
      <c r="F272" s="96" t="s">
        <v>1601</v>
      </c>
      <c r="G272" s="62" t="s">
        <v>54</v>
      </c>
      <c r="H272" s="62" t="s">
        <v>25</v>
      </c>
      <c r="I272" s="62"/>
      <c r="J272" s="80" t="s">
        <v>34</v>
      </c>
    </row>
    <row r="273" spans="1:10" ht="15.75" customHeight="1" x14ac:dyDescent="0.3">
      <c r="A273" s="72" t="s">
        <v>881</v>
      </c>
      <c r="B273" s="53" t="s">
        <v>597</v>
      </c>
      <c r="C273" s="53"/>
      <c r="D273" s="54">
        <v>9186375998</v>
      </c>
      <c r="E273" s="53" t="s">
        <v>469</v>
      </c>
      <c r="F273" s="93" t="s">
        <v>1523</v>
      </c>
      <c r="G273" s="54" t="s">
        <v>16</v>
      </c>
      <c r="H273" s="54" t="s">
        <v>72</v>
      </c>
      <c r="I273" s="54" t="s">
        <v>18</v>
      </c>
      <c r="J273" s="77" t="s">
        <v>51</v>
      </c>
    </row>
    <row r="274" spans="1:10" ht="15.75" customHeight="1" x14ac:dyDescent="0.3">
      <c r="A274" s="72" t="s">
        <v>884</v>
      </c>
      <c r="B274" s="53" t="s">
        <v>227</v>
      </c>
      <c r="C274" s="53" t="s">
        <v>37</v>
      </c>
      <c r="D274" s="54">
        <v>9767426629</v>
      </c>
      <c r="E274" s="53"/>
      <c r="F274" s="93" t="s">
        <v>1515</v>
      </c>
      <c r="G274" s="54" t="s">
        <v>16</v>
      </c>
      <c r="H274" s="54" t="s">
        <v>17</v>
      </c>
      <c r="I274" s="54" t="s">
        <v>18</v>
      </c>
      <c r="J274" s="77"/>
    </row>
    <row r="275" spans="1:10" ht="15.75" customHeight="1" x14ac:dyDescent="0.3">
      <c r="A275" s="72" t="s">
        <v>886</v>
      </c>
      <c r="B275" s="53" t="s">
        <v>202</v>
      </c>
      <c r="C275" s="53" t="s">
        <v>12</v>
      </c>
      <c r="D275" s="54">
        <v>9287923264</v>
      </c>
      <c r="E275" s="53" t="s">
        <v>888</v>
      </c>
      <c r="F275" s="93" t="s">
        <v>1536</v>
      </c>
      <c r="G275" s="54" t="s">
        <v>16</v>
      </c>
      <c r="H275" s="54" t="s">
        <v>83</v>
      </c>
      <c r="I275" s="54" t="s">
        <v>26</v>
      </c>
      <c r="J275" s="77" t="s">
        <v>66</v>
      </c>
    </row>
    <row r="276" spans="1:10" ht="15.75" customHeight="1" x14ac:dyDescent="0.3">
      <c r="A276" s="72" t="s">
        <v>890</v>
      </c>
      <c r="B276" s="53" t="s">
        <v>193</v>
      </c>
      <c r="C276" s="53" t="s">
        <v>62</v>
      </c>
      <c r="D276" s="54">
        <v>9146273014</v>
      </c>
      <c r="E276" s="53"/>
      <c r="F276" s="93" t="s">
        <v>1600</v>
      </c>
      <c r="G276" s="54" t="s">
        <v>16</v>
      </c>
      <c r="H276" s="54" t="s">
        <v>83</v>
      </c>
      <c r="I276" s="54" t="s">
        <v>26</v>
      </c>
      <c r="J276" s="77" t="s">
        <v>106</v>
      </c>
    </row>
    <row r="277" spans="1:10" ht="15.75" customHeight="1" x14ac:dyDescent="0.3">
      <c r="A277" s="74" t="s">
        <v>893</v>
      </c>
      <c r="B277" s="59" t="s">
        <v>157</v>
      </c>
      <c r="C277" s="59" t="s">
        <v>22</v>
      </c>
      <c r="D277" s="60">
        <v>9025725204</v>
      </c>
      <c r="E277" s="59" t="s">
        <v>775</v>
      </c>
      <c r="F277" s="95" t="s">
        <v>1561</v>
      </c>
      <c r="G277" s="60" t="s">
        <v>48</v>
      </c>
      <c r="H277" s="60" t="s">
        <v>65</v>
      </c>
      <c r="I277" s="60" t="s">
        <v>18</v>
      </c>
      <c r="J277" s="79" t="s">
        <v>19</v>
      </c>
    </row>
    <row r="278" spans="1:10" ht="15.75" customHeight="1" x14ac:dyDescent="0.3">
      <c r="A278" s="73" t="s">
        <v>895</v>
      </c>
      <c r="B278" s="55" t="s">
        <v>134</v>
      </c>
      <c r="C278" s="55" t="s">
        <v>22</v>
      </c>
      <c r="D278" s="56"/>
      <c r="E278" s="55"/>
      <c r="F278" s="94" t="s">
        <v>1602</v>
      </c>
      <c r="G278" s="56" t="s">
        <v>79</v>
      </c>
      <c r="H278" s="56" t="s">
        <v>42</v>
      </c>
      <c r="I278" s="56" t="s">
        <v>18</v>
      </c>
      <c r="J278" s="78" t="s">
        <v>143</v>
      </c>
    </row>
    <row r="279" spans="1:10" ht="15.75" customHeight="1" x14ac:dyDescent="0.3">
      <c r="A279" s="73" t="s">
        <v>896</v>
      </c>
      <c r="B279" s="55" t="s">
        <v>202</v>
      </c>
      <c r="C279" s="55" t="s">
        <v>22</v>
      </c>
      <c r="D279" s="56">
        <v>9898881671</v>
      </c>
      <c r="E279" s="55" t="s">
        <v>898</v>
      </c>
      <c r="F279" s="94" t="s">
        <v>1570</v>
      </c>
      <c r="G279" s="56" t="s">
        <v>79</v>
      </c>
      <c r="H279" s="56" t="s">
        <v>83</v>
      </c>
      <c r="I279" s="56" t="s">
        <v>18</v>
      </c>
      <c r="J279" s="78" t="s">
        <v>27</v>
      </c>
    </row>
    <row r="280" spans="1:10" ht="15.75" customHeight="1" x14ac:dyDescent="0.3">
      <c r="A280" s="72" t="s">
        <v>900</v>
      </c>
      <c r="B280" s="53" t="s">
        <v>157</v>
      </c>
      <c r="C280" s="53" t="s">
        <v>37</v>
      </c>
      <c r="D280" s="54">
        <v>9322342321</v>
      </c>
      <c r="E280" s="53" t="s">
        <v>902</v>
      </c>
      <c r="F280" s="93" t="s">
        <v>1528</v>
      </c>
      <c r="G280" s="54" t="s">
        <v>16</v>
      </c>
      <c r="H280" s="54" t="s">
        <v>1619</v>
      </c>
      <c r="I280" s="54" t="s">
        <v>18</v>
      </c>
      <c r="J280" s="77" t="s">
        <v>66</v>
      </c>
    </row>
    <row r="281" spans="1:10" ht="15.75" customHeight="1" x14ac:dyDescent="0.3">
      <c r="A281" s="73" t="s">
        <v>904</v>
      </c>
      <c r="B281" s="55" t="s">
        <v>193</v>
      </c>
      <c r="C281" s="55"/>
      <c r="D281" s="56">
        <v>9014011939</v>
      </c>
      <c r="E281" s="55" t="s">
        <v>906</v>
      </c>
      <c r="F281" s="94" t="s">
        <v>1516</v>
      </c>
      <c r="G281" s="56" t="s">
        <v>79</v>
      </c>
      <c r="H281" s="56" t="s">
        <v>25</v>
      </c>
      <c r="I281" s="56" t="s">
        <v>18</v>
      </c>
      <c r="J281" s="78" t="s">
        <v>106</v>
      </c>
    </row>
    <row r="282" spans="1:10" ht="15.75" customHeight="1" x14ac:dyDescent="0.3">
      <c r="A282" s="76" t="s">
        <v>908</v>
      </c>
      <c r="B282" s="57" t="s">
        <v>202</v>
      </c>
      <c r="C282" s="57" t="s">
        <v>45</v>
      </c>
      <c r="D282" s="58">
        <v>9342801387</v>
      </c>
      <c r="E282" s="57"/>
      <c r="F282" s="97" t="s">
        <v>1591</v>
      </c>
      <c r="G282" s="58" t="s">
        <v>111</v>
      </c>
      <c r="H282" s="58" t="s">
        <v>42</v>
      </c>
      <c r="I282" s="58" t="s">
        <v>26</v>
      </c>
      <c r="J282" s="81" t="s">
        <v>19</v>
      </c>
    </row>
    <row r="283" spans="1:10" ht="15.75" customHeight="1" x14ac:dyDescent="0.3">
      <c r="A283" s="72" t="s">
        <v>910</v>
      </c>
      <c r="B283" s="53" t="s">
        <v>597</v>
      </c>
      <c r="C283" s="53"/>
      <c r="D283" s="54"/>
      <c r="E283" s="53"/>
      <c r="F283" s="93" t="s">
        <v>1601</v>
      </c>
      <c r="G283" s="54" t="s">
        <v>16</v>
      </c>
      <c r="H283" s="54" t="s">
        <v>83</v>
      </c>
      <c r="I283" s="54" t="s">
        <v>18</v>
      </c>
      <c r="J283" s="77" t="s">
        <v>34</v>
      </c>
    </row>
    <row r="284" spans="1:10" ht="15.75" customHeight="1" x14ac:dyDescent="0.3">
      <c r="A284" s="72" t="s">
        <v>911</v>
      </c>
      <c r="B284" s="53" t="s">
        <v>36</v>
      </c>
      <c r="C284" s="53" t="s">
        <v>12</v>
      </c>
      <c r="D284" s="54">
        <v>9317520716</v>
      </c>
      <c r="E284" s="53" t="s">
        <v>868</v>
      </c>
      <c r="F284" s="93" t="s">
        <v>1516</v>
      </c>
      <c r="G284" s="54" t="s">
        <v>16</v>
      </c>
      <c r="H284" s="54" t="s">
        <v>65</v>
      </c>
      <c r="I284" s="54" t="s">
        <v>26</v>
      </c>
      <c r="J284" s="77" t="s">
        <v>143</v>
      </c>
    </row>
    <row r="285" spans="1:10" ht="15.75" customHeight="1" x14ac:dyDescent="0.3">
      <c r="A285" s="72" t="s">
        <v>913</v>
      </c>
      <c r="B285" s="53" t="s">
        <v>202</v>
      </c>
      <c r="C285" s="53" t="s">
        <v>12</v>
      </c>
      <c r="D285" s="54">
        <v>9961367499</v>
      </c>
      <c r="E285" s="53" t="s">
        <v>915</v>
      </c>
      <c r="F285" s="93" t="s">
        <v>1555</v>
      </c>
      <c r="G285" s="54" t="s">
        <v>16</v>
      </c>
      <c r="H285" s="54" t="s">
        <v>72</v>
      </c>
      <c r="I285" s="54" t="s">
        <v>26</v>
      </c>
      <c r="J285" s="77" t="s">
        <v>91</v>
      </c>
    </row>
    <row r="286" spans="1:10" ht="15.75" customHeight="1" x14ac:dyDescent="0.3">
      <c r="A286" s="72" t="s">
        <v>917</v>
      </c>
      <c r="B286" s="53" t="s">
        <v>202</v>
      </c>
      <c r="C286" s="53" t="s">
        <v>119</v>
      </c>
      <c r="D286" s="54">
        <v>9201017026</v>
      </c>
      <c r="E286" s="53"/>
      <c r="F286" s="93" t="s">
        <v>1549</v>
      </c>
      <c r="G286" s="54" t="s">
        <v>16</v>
      </c>
      <c r="H286" s="54" t="s">
        <v>83</v>
      </c>
      <c r="I286" s="54"/>
      <c r="J286" s="77" t="s">
        <v>91</v>
      </c>
    </row>
    <row r="287" spans="1:10" ht="15.75" customHeight="1" x14ac:dyDescent="0.3">
      <c r="A287" s="73" t="s">
        <v>919</v>
      </c>
      <c r="B287" s="55" t="s">
        <v>597</v>
      </c>
      <c r="C287" s="55" t="s">
        <v>119</v>
      </c>
      <c r="D287" s="56">
        <v>9485880061</v>
      </c>
      <c r="E287" s="55" t="s">
        <v>921</v>
      </c>
      <c r="F287" s="94" t="s">
        <v>1538</v>
      </c>
      <c r="G287" s="56" t="s">
        <v>79</v>
      </c>
      <c r="H287" s="56" t="s">
        <v>72</v>
      </c>
      <c r="I287" s="56" t="s">
        <v>26</v>
      </c>
      <c r="J287" s="78" t="s">
        <v>143</v>
      </c>
    </row>
    <row r="288" spans="1:10" ht="15.75" customHeight="1" x14ac:dyDescent="0.3">
      <c r="A288" s="72" t="s">
        <v>434</v>
      </c>
      <c r="B288" s="53" t="s">
        <v>29</v>
      </c>
      <c r="C288" s="53" t="s">
        <v>62</v>
      </c>
      <c r="D288" s="54">
        <v>9719788977</v>
      </c>
      <c r="E288" s="53" t="s">
        <v>374</v>
      </c>
      <c r="F288" s="93" t="s">
        <v>1524</v>
      </c>
      <c r="G288" s="54" t="s">
        <v>16</v>
      </c>
      <c r="H288" s="54" t="s">
        <v>17</v>
      </c>
      <c r="I288" s="54"/>
      <c r="J288" s="77" t="s">
        <v>34</v>
      </c>
    </row>
    <row r="289" spans="1:10" ht="15.75" customHeight="1" x14ac:dyDescent="0.3">
      <c r="A289" s="75" t="s">
        <v>924</v>
      </c>
      <c r="B289" s="61" t="s">
        <v>157</v>
      </c>
      <c r="C289" s="61"/>
      <c r="D289" s="62">
        <v>9255905616</v>
      </c>
      <c r="E289" s="61" t="s">
        <v>926</v>
      </c>
      <c r="F289" s="96" t="s">
        <v>1574</v>
      </c>
      <c r="G289" s="62" t="s">
        <v>54</v>
      </c>
      <c r="H289" s="62" t="s">
        <v>72</v>
      </c>
      <c r="I289" s="62" t="s">
        <v>18</v>
      </c>
      <c r="J289" s="80" t="s">
        <v>106</v>
      </c>
    </row>
    <row r="290" spans="1:10" ht="15.75" customHeight="1" x14ac:dyDescent="0.3">
      <c r="A290" s="73" t="s">
        <v>52</v>
      </c>
      <c r="B290" s="55" t="s">
        <v>202</v>
      </c>
      <c r="C290" s="55"/>
      <c r="D290" s="56">
        <v>9085076986</v>
      </c>
      <c r="E290" s="55"/>
      <c r="F290" s="94" t="s">
        <v>1521</v>
      </c>
      <c r="G290" s="56" t="s">
        <v>79</v>
      </c>
      <c r="H290" s="56" t="s">
        <v>42</v>
      </c>
      <c r="I290" s="56" t="s">
        <v>18</v>
      </c>
      <c r="J290" s="78" t="s">
        <v>106</v>
      </c>
    </row>
    <row r="291" spans="1:10" ht="15.75" customHeight="1" x14ac:dyDescent="0.3">
      <c r="A291" s="74" t="s">
        <v>928</v>
      </c>
      <c r="B291" s="59" t="s">
        <v>29</v>
      </c>
      <c r="C291" s="59" t="s">
        <v>22</v>
      </c>
      <c r="D291" s="60">
        <v>9785294563</v>
      </c>
      <c r="E291" s="59" t="s">
        <v>930</v>
      </c>
      <c r="F291" s="95" t="s">
        <v>1585</v>
      </c>
      <c r="G291" s="60" t="s">
        <v>48</v>
      </c>
      <c r="H291" s="60" t="s">
        <v>72</v>
      </c>
      <c r="I291" s="60" t="s">
        <v>18</v>
      </c>
      <c r="J291" s="79"/>
    </row>
    <row r="292" spans="1:10" ht="15.75" customHeight="1" x14ac:dyDescent="0.3">
      <c r="A292" s="72" t="s">
        <v>931</v>
      </c>
      <c r="B292" s="53" t="s">
        <v>597</v>
      </c>
      <c r="C292" s="53" t="s">
        <v>37</v>
      </c>
      <c r="D292" s="54">
        <v>9195419876</v>
      </c>
      <c r="E292" s="53"/>
      <c r="F292" s="93" t="s">
        <v>1579</v>
      </c>
      <c r="G292" s="54" t="s">
        <v>16</v>
      </c>
      <c r="H292" s="54" t="s">
        <v>17</v>
      </c>
      <c r="I292" s="54" t="s">
        <v>26</v>
      </c>
      <c r="J292" s="77"/>
    </row>
    <row r="293" spans="1:10" ht="15.75" customHeight="1" x14ac:dyDescent="0.3">
      <c r="A293" s="75" t="s">
        <v>934</v>
      </c>
      <c r="B293" s="61" t="s">
        <v>206</v>
      </c>
      <c r="C293" s="61" t="s">
        <v>119</v>
      </c>
      <c r="D293" s="62"/>
      <c r="E293" s="61" t="s">
        <v>935</v>
      </c>
      <c r="F293" s="96" t="s">
        <v>1556</v>
      </c>
      <c r="G293" s="62" t="s">
        <v>54</v>
      </c>
      <c r="H293" s="62" t="s">
        <v>125</v>
      </c>
      <c r="I293" s="62" t="s">
        <v>26</v>
      </c>
      <c r="J293" s="80" t="s">
        <v>143</v>
      </c>
    </row>
    <row r="294" spans="1:10" ht="15.75" customHeight="1" x14ac:dyDescent="0.3">
      <c r="A294" s="75" t="s">
        <v>936</v>
      </c>
      <c r="B294" s="61" t="s">
        <v>227</v>
      </c>
      <c r="C294" s="61"/>
      <c r="D294" s="62">
        <v>9364424936</v>
      </c>
      <c r="E294" s="61"/>
      <c r="F294" s="96" t="s">
        <v>1589</v>
      </c>
      <c r="G294" s="62" t="s">
        <v>54</v>
      </c>
      <c r="H294" s="62" t="s">
        <v>72</v>
      </c>
      <c r="I294" s="62" t="s">
        <v>26</v>
      </c>
      <c r="J294" s="80" t="s">
        <v>91</v>
      </c>
    </row>
    <row r="295" spans="1:10" ht="15.75" customHeight="1" x14ac:dyDescent="0.3">
      <c r="A295" s="74" t="s">
        <v>938</v>
      </c>
      <c r="B295" s="59" t="s">
        <v>206</v>
      </c>
      <c r="C295" s="59" t="s">
        <v>37</v>
      </c>
      <c r="D295" s="60"/>
      <c r="E295" s="59"/>
      <c r="F295" s="95" t="s">
        <v>1578</v>
      </c>
      <c r="G295" s="60" t="s">
        <v>48</v>
      </c>
      <c r="H295" s="60" t="s">
        <v>42</v>
      </c>
      <c r="I295" s="60" t="s">
        <v>18</v>
      </c>
      <c r="J295" s="79" t="s">
        <v>106</v>
      </c>
    </row>
    <row r="296" spans="1:10" ht="15.75" customHeight="1" x14ac:dyDescent="0.3">
      <c r="A296" s="72" t="s">
        <v>940</v>
      </c>
      <c r="B296" s="53" t="s">
        <v>11</v>
      </c>
      <c r="C296" s="53" t="s">
        <v>45</v>
      </c>
      <c r="D296" s="54">
        <v>9189847139</v>
      </c>
      <c r="E296" s="53" t="s">
        <v>942</v>
      </c>
      <c r="F296" s="93" t="s">
        <v>1566</v>
      </c>
      <c r="G296" s="54" t="s">
        <v>16</v>
      </c>
      <c r="H296" s="54" t="s">
        <v>65</v>
      </c>
      <c r="I296" s="54" t="s">
        <v>26</v>
      </c>
      <c r="J296" s="77" t="s">
        <v>19</v>
      </c>
    </row>
    <row r="297" spans="1:10" ht="15.75" customHeight="1" x14ac:dyDescent="0.3">
      <c r="A297" s="73" t="s">
        <v>944</v>
      </c>
      <c r="B297" s="55" t="s">
        <v>227</v>
      </c>
      <c r="C297" s="55"/>
      <c r="D297" s="56"/>
      <c r="E297" s="55" t="s">
        <v>945</v>
      </c>
      <c r="F297" s="94" t="s">
        <v>1600</v>
      </c>
      <c r="G297" s="56" t="s">
        <v>79</v>
      </c>
      <c r="H297" s="56" t="s">
        <v>49</v>
      </c>
      <c r="I297" s="56" t="s">
        <v>26</v>
      </c>
      <c r="J297" s="78" t="s">
        <v>66</v>
      </c>
    </row>
    <row r="298" spans="1:10" ht="15.75" customHeight="1" x14ac:dyDescent="0.3">
      <c r="A298" s="74" t="s">
        <v>946</v>
      </c>
      <c r="B298" s="59" t="s">
        <v>193</v>
      </c>
      <c r="C298" s="59" t="s">
        <v>62</v>
      </c>
      <c r="D298" s="60">
        <v>9486451837</v>
      </c>
      <c r="E298" s="59"/>
      <c r="F298" s="95" t="s">
        <v>1571</v>
      </c>
      <c r="G298" s="60" t="s">
        <v>48</v>
      </c>
      <c r="H298" s="60" t="s">
        <v>25</v>
      </c>
      <c r="I298" s="60" t="s">
        <v>18</v>
      </c>
      <c r="J298" s="79" t="s">
        <v>19</v>
      </c>
    </row>
    <row r="299" spans="1:10" ht="15.75" customHeight="1" x14ac:dyDescent="0.3">
      <c r="A299" s="73" t="s">
        <v>949</v>
      </c>
      <c r="B299" s="55" t="s">
        <v>134</v>
      </c>
      <c r="C299" s="55"/>
      <c r="D299" s="56"/>
      <c r="E299" s="55" t="s">
        <v>762</v>
      </c>
      <c r="F299" s="94" t="s">
        <v>1555</v>
      </c>
      <c r="G299" s="56" t="s">
        <v>79</v>
      </c>
      <c r="H299" s="56" t="s">
        <v>49</v>
      </c>
      <c r="I299" s="56"/>
      <c r="J299" s="78" t="s">
        <v>66</v>
      </c>
    </row>
    <row r="300" spans="1:10" ht="15.75" customHeight="1" x14ac:dyDescent="0.3">
      <c r="A300" s="73" t="s">
        <v>950</v>
      </c>
      <c r="B300" s="55" t="s">
        <v>134</v>
      </c>
      <c r="C300" s="55" t="s">
        <v>22</v>
      </c>
      <c r="D300" s="56">
        <v>9634591123</v>
      </c>
      <c r="E300" s="55" t="s">
        <v>952</v>
      </c>
      <c r="F300" s="94" t="s">
        <v>1598</v>
      </c>
      <c r="G300" s="56" t="s">
        <v>79</v>
      </c>
      <c r="H300" s="56" t="s">
        <v>125</v>
      </c>
      <c r="I300" s="56" t="s">
        <v>18</v>
      </c>
      <c r="J300" s="78" t="s">
        <v>143</v>
      </c>
    </row>
    <row r="301" spans="1:10" ht="15.75" customHeight="1" x14ac:dyDescent="0.3">
      <c r="A301" s="74" t="s">
        <v>953</v>
      </c>
      <c r="B301" s="59" t="s">
        <v>157</v>
      </c>
      <c r="C301" s="59" t="s">
        <v>119</v>
      </c>
      <c r="D301" s="60"/>
      <c r="E301" s="59"/>
      <c r="F301" s="95" t="s">
        <v>1588</v>
      </c>
      <c r="G301" s="60" t="s">
        <v>48</v>
      </c>
      <c r="H301" s="60" t="s">
        <v>125</v>
      </c>
      <c r="I301" s="60" t="s">
        <v>18</v>
      </c>
      <c r="J301" s="79"/>
    </row>
    <row r="302" spans="1:10" ht="15.75" customHeight="1" x14ac:dyDescent="0.3">
      <c r="A302" s="72" t="s">
        <v>955</v>
      </c>
      <c r="B302" s="53" t="s">
        <v>206</v>
      </c>
      <c r="C302" s="53" t="s">
        <v>37</v>
      </c>
      <c r="D302" s="54">
        <v>9291086771</v>
      </c>
      <c r="E302" s="53"/>
      <c r="F302" s="93" t="s">
        <v>1507</v>
      </c>
      <c r="G302" s="54" t="s">
        <v>16</v>
      </c>
      <c r="H302" s="54" t="s">
        <v>42</v>
      </c>
      <c r="I302" s="54"/>
      <c r="J302" s="77" t="s">
        <v>19</v>
      </c>
    </row>
    <row r="303" spans="1:10" ht="15.75" customHeight="1" x14ac:dyDescent="0.3">
      <c r="A303" s="72" t="s">
        <v>958</v>
      </c>
      <c r="B303" s="53" t="s">
        <v>597</v>
      </c>
      <c r="C303" s="53" t="s">
        <v>22</v>
      </c>
      <c r="D303" s="54">
        <v>9262044397</v>
      </c>
      <c r="E303" s="53" t="s">
        <v>960</v>
      </c>
      <c r="F303" s="93" t="s">
        <v>1578</v>
      </c>
      <c r="G303" s="54" t="s">
        <v>16</v>
      </c>
      <c r="H303" s="54" t="s">
        <v>17</v>
      </c>
      <c r="I303" s="54" t="s">
        <v>26</v>
      </c>
      <c r="J303" s="77"/>
    </row>
    <row r="304" spans="1:10" ht="15.75" customHeight="1" x14ac:dyDescent="0.3">
      <c r="A304" s="74" t="s">
        <v>962</v>
      </c>
      <c r="B304" s="59" t="s">
        <v>597</v>
      </c>
      <c r="C304" s="59" t="s">
        <v>62</v>
      </c>
      <c r="D304" s="60">
        <v>9411800537</v>
      </c>
      <c r="E304" s="59" t="s">
        <v>964</v>
      </c>
      <c r="F304" s="95" t="s">
        <v>1563</v>
      </c>
      <c r="G304" s="60" t="s">
        <v>48</v>
      </c>
      <c r="H304" s="60" t="s">
        <v>42</v>
      </c>
      <c r="I304" s="60" t="s">
        <v>18</v>
      </c>
      <c r="J304" s="79"/>
    </row>
    <row r="305" spans="1:10" ht="15.75" customHeight="1" x14ac:dyDescent="0.3">
      <c r="A305" s="73" t="s">
        <v>965</v>
      </c>
      <c r="B305" s="55" t="s">
        <v>157</v>
      </c>
      <c r="C305" s="55" t="s">
        <v>45</v>
      </c>
      <c r="D305" s="56">
        <v>9924287572</v>
      </c>
      <c r="E305" s="55" t="s">
        <v>967</v>
      </c>
      <c r="F305" s="94" t="s">
        <v>1524</v>
      </c>
      <c r="G305" s="56" t="s">
        <v>79</v>
      </c>
      <c r="H305" s="56" t="s">
        <v>1619</v>
      </c>
      <c r="I305" s="56" t="s">
        <v>26</v>
      </c>
      <c r="J305" s="78" t="s">
        <v>91</v>
      </c>
    </row>
    <row r="306" spans="1:10" ht="15.75" customHeight="1" x14ac:dyDescent="0.3">
      <c r="A306" s="76" t="s">
        <v>968</v>
      </c>
      <c r="B306" s="57" t="s">
        <v>227</v>
      </c>
      <c r="C306" s="57" t="s">
        <v>12</v>
      </c>
      <c r="D306" s="58">
        <v>9948562572</v>
      </c>
      <c r="E306" s="57" t="s">
        <v>970</v>
      </c>
      <c r="F306" s="97" t="s">
        <v>1599</v>
      </c>
      <c r="G306" s="58" t="s">
        <v>111</v>
      </c>
      <c r="H306" s="58" t="s">
        <v>1619</v>
      </c>
      <c r="I306" s="58" t="s">
        <v>26</v>
      </c>
      <c r="J306" s="81" t="s">
        <v>66</v>
      </c>
    </row>
    <row r="307" spans="1:10" ht="15.75" customHeight="1" x14ac:dyDescent="0.3">
      <c r="A307" s="75" t="s">
        <v>971</v>
      </c>
      <c r="B307" s="61" t="s">
        <v>29</v>
      </c>
      <c r="C307" s="61" t="s">
        <v>119</v>
      </c>
      <c r="D307" s="62">
        <v>9170758777</v>
      </c>
      <c r="E307" s="61" t="s">
        <v>868</v>
      </c>
      <c r="F307" s="96" t="s">
        <v>1570</v>
      </c>
      <c r="G307" s="62" t="s">
        <v>54</v>
      </c>
      <c r="H307" s="62" t="s">
        <v>125</v>
      </c>
      <c r="I307" s="62"/>
      <c r="J307" s="80" t="s">
        <v>143</v>
      </c>
    </row>
    <row r="308" spans="1:10" ht="15.75" customHeight="1" x14ac:dyDescent="0.3">
      <c r="A308" s="74" t="s">
        <v>973</v>
      </c>
      <c r="B308" s="59" t="s">
        <v>227</v>
      </c>
      <c r="C308" s="59" t="s">
        <v>45</v>
      </c>
      <c r="D308" s="60"/>
      <c r="E308" s="59"/>
      <c r="F308" s="95" t="s">
        <v>1544</v>
      </c>
      <c r="G308" s="60" t="s">
        <v>48</v>
      </c>
      <c r="H308" s="60" t="s">
        <v>65</v>
      </c>
      <c r="I308" s="60" t="s">
        <v>26</v>
      </c>
      <c r="J308" s="79" t="s">
        <v>51</v>
      </c>
    </row>
    <row r="309" spans="1:10" ht="15.75" customHeight="1" x14ac:dyDescent="0.3">
      <c r="A309" s="73" t="s">
        <v>975</v>
      </c>
      <c r="B309" s="55" t="s">
        <v>202</v>
      </c>
      <c r="C309" s="55" t="s">
        <v>37</v>
      </c>
      <c r="D309" s="56">
        <v>9774905097</v>
      </c>
      <c r="E309" s="55" t="s">
        <v>977</v>
      </c>
      <c r="F309" s="94" t="s">
        <v>1598</v>
      </c>
      <c r="G309" s="56" t="s">
        <v>79</v>
      </c>
      <c r="H309" s="56" t="s">
        <v>72</v>
      </c>
      <c r="I309" s="56" t="s">
        <v>18</v>
      </c>
      <c r="J309" s="78" t="s">
        <v>66</v>
      </c>
    </row>
    <row r="310" spans="1:10" ht="15.75" customHeight="1" x14ac:dyDescent="0.3">
      <c r="A310" s="72" t="s">
        <v>979</v>
      </c>
      <c r="B310" s="53" t="s">
        <v>202</v>
      </c>
      <c r="C310" s="53" t="s">
        <v>119</v>
      </c>
      <c r="D310" s="54">
        <v>9642361032</v>
      </c>
      <c r="E310" s="53" t="s">
        <v>981</v>
      </c>
      <c r="F310" s="93" t="s">
        <v>1530</v>
      </c>
      <c r="G310" s="54" t="s">
        <v>16</v>
      </c>
      <c r="H310" s="54" t="s">
        <v>42</v>
      </c>
      <c r="I310" s="54" t="s">
        <v>26</v>
      </c>
      <c r="J310" s="77" t="s">
        <v>34</v>
      </c>
    </row>
    <row r="311" spans="1:10" ht="15.75" customHeight="1" x14ac:dyDescent="0.3">
      <c r="A311" s="76" t="s">
        <v>982</v>
      </c>
      <c r="B311" s="57" t="s">
        <v>134</v>
      </c>
      <c r="C311" s="57"/>
      <c r="D311" s="58">
        <v>9837767499</v>
      </c>
      <c r="E311" s="57"/>
      <c r="F311" s="97" t="s">
        <v>1523</v>
      </c>
      <c r="G311" s="58" t="s">
        <v>111</v>
      </c>
      <c r="H311" s="58" t="s">
        <v>42</v>
      </c>
      <c r="I311" s="58" t="s">
        <v>18</v>
      </c>
      <c r="J311" s="81" t="s">
        <v>66</v>
      </c>
    </row>
    <row r="312" spans="1:10" ht="15.75" customHeight="1" x14ac:dyDescent="0.3">
      <c r="A312" s="75" t="s">
        <v>984</v>
      </c>
      <c r="B312" s="61" t="s">
        <v>157</v>
      </c>
      <c r="C312" s="61" t="s">
        <v>62</v>
      </c>
      <c r="D312" s="62">
        <v>9788147617</v>
      </c>
      <c r="E312" s="61"/>
      <c r="F312" s="96" t="s">
        <v>1598</v>
      </c>
      <c r="G312" s="62" t="s">
        <v>54</v>
      </c>
      <c r="H312" s="62" t="s">
        <v>72</v>
      </c>
      <c r="I312" s="62" t="s">
        <v>18</v>
      </c>
      <c r="J312" s="80" t="s">
        <v>66</v>
      </c>
    </row>
    <row r="313" spans="1:10" ht="15.75" customHeight="1" x14ac:dyDescent="0.3">
      <c r="A313" s="76" t="s">
        <v>986</v>
      </c>
      <c r="B313" s="57" t="s">
        <v>202</v>
      </c>
      <c r="C313" s="57" t="s">
        <v>45</v>
      </c>
      <c r="D313" s="58"/>
      <c r="E313" s="57"/>
      <c r="F313" s="97" t="s">
        <v>1574</v>
      </c>
      <c r="G313" s="58" t="s">
        <v>111</v>
      </c>
      <c r="H313" s="58" t="s">
        <v>42</v>
      </c>
      <c r="I313" s="58" t="s">
        <v>18</v>
      </c>
      <c r="J313" s="81" t="s">
        <v>106</v>
      </c>
    </row>
    <row r="314" spans="1:10" ht="15.75" customHeight="1" x14ac:dyDescent="0.3">
      <c r="A314" s="73" t="s">
        <v>988</v>
      </c>
      <c r="B314" s="55" t="s">
        <v>206</v>
      </c>
      <c r="C314" s="55" t="s">
        <v>62</v>
      </c>
      <c r="D314" s="56">
        <v>9794523219</v>
      </c>
      <c r="E314" s="55"/>
      <c r="F314" s="94" t="s">
        <v>1597</v>
      </c>
      <c r="G314" s="56" t="s">
        <v>79</v>
      </c>
      <c r="H314" s="56" t="s">
        <v>49</v>
      </c>
      <c r="I314" s="56" t="s">
        <v>26</v>
      </c>
      <c r="J314" s="78" t="s">
        <v>91</v>
      </c>
    </row>
    <row r="315" spans="1:10" ht="15.75" customHeight="1" x14ac:dyDescent="0.3">
      <c r="A315" s="75" t="s">
        <v>990</v>
      </c>
      <c r="B315" s="61" t="s">
        <v>29</v>
      </c>
      <c r="C315" s="61" t="s">
        <v>62</v>
      </c>
      <c r="D315" s="62">
        <v>9749956412</v>
      </c>
      <c r="E315" s="61"/>
      <c r="F315" s="96" t="s">
        <v>1511</v>
      </c>
      <c r="G315" s="62" t="s">
        <v>54</v>
      </c>
      <c r="H315" s="62" t="s">
        <v>25</v>
      </c>
      <c r="I315" s="62" t="s">
        <v>26</v>
      </c>
      <c r="J315" s="80" t="s">
        <v>143</v>
      </c>
    </row>
    <row r="316" spans="1:10" ht="15.75" customHeight="1" x14ac:dyDescent="0.3">
      <c r="A316" s="73" t="s">
        <v>992</v>
      </c>
      <c r="B316" s="55" t="s">
        <v>597</v>
      </c>
      <c r="C316" s="55"/>
      <c r="D316" s="56">
        <v>9314727601</v>
      </c>
      <c r="E316" s="55" t="s">
        <v>921</v>
      </c>
      <c r="F316" s="94" t="s">
        <v>1596</v>
      </c>
      <c r="G316" s="56" t="s">
        <v>79</v>
      </c>
      <c r="H316" s="56" t="s">
        <v>25</v>
      </c>
      <c r="I316" s="56" t="s">
        <v>26</v>
      </c>
      <c r="J316" s="78" t="s">
        <v>34</v>
      </c>
    </row>
    <row r="317" spans="1:10" ht="15.75" customHeight="1" x14ac:dyDescent="0.3">
      <c r="A317" s="73" t="s">
        <v>994</v>
      </c>
      <c r="B317" s="55" t="s">
        <v>206</v>
      </c>
      <c r="C317" s="55" t="s">
        <v>37</v>
      </c>
      <c r="D317" s="56">
        <v>9679984076</v>
      </c>
      <c r="E317" s="55" t="s">
        <v>996</v>
      </c>
      <c r="F317" s="94" t="s">
        <v>1596</v>
      </c>
      <c r="G317" s="56" t="s">
        <v>79</v>
      </c>
      <c r="H317" s="56" t="s">
        <v>42</v>
      </c>
      <c r="I317" s="56" t="s">
        <v>18</v>
      </c>
      <c r="J317" s="78" t="s">
        <v>51</v>
      </c>
    </row>
    <row r="318" spans="1:10" ht="15.75" customHeight="1" x14ac:dyDescent="0.3">
      <c r="A318" s="73" t="s">
        <v>997</v>
      </c>
      <c r="B318" s="55" t="s">
        <v>202</v>
      </c>
      <c r="C318" s="55" t="s">
        <v>119</v>
      </c>
      <c r="D318" s="56"/>
      <c r="E318" s="55" t="s">
        <v>99</v>
      </c>
      <c r="F318" s="94" t="s">
        <v>1565</v>
      </c>
      <c r="G318" s="56" t="s">
        <v>79</v>
      </c>
      <c r="H318" s="56" t="s">
        <v>83</v>
      </c>
      <c r="I318" s="56" t="s">
        <v>26</v>
      </c>
      <c r="J318" s="78" t="s">
        <v>34</v>
      </c>
    </row>
    <row r="319" spans="1:10" ht="15.75" customHeight="1" x14ac:dyDescent="0.3">
      <c r="A319" s="75" t="s">
        <v>998</v>
      </c>
      <c r="B319" s="61" t="s">
        <v>206</v>
      </c>
      <c r="C319" s="61" t="s">
        <v>62</v>
      </c>
      <c r="D319" s="62">
        <v>9729341722</v>
      </c>
      <c r="E319" s="61" t="s">
        <v>1000</v>
      </c>
      <c r="F319" s="96" t="s">
        <v>1550</v>
      </c>
      <c r="G319" s="62" t="s">
        <v>54</v>
      </c>
      <c r="H319" s="62" t="s">
        <v>49</v>
      </c>
      <c r="I319" s="62" t="s">
        <v>18</v>
      </c>
      <c r="J319" s="80" t="s">
        <v>51</v>
      </c>
    </row>
    <row r="320" spans="1:10" ht="15.75" customHeight="1" x14ac:dyDescent="0.3">
      <c r="A320" s="76" t="s">
        <v>896</v>
      </c>
      <c r="B320" s="57" t="s">
        <v>227</v>
      </c>
      <c r="C320" s="57" t="s">
        <v>22</v>
      </c>
      <c r="D320" s="58">
        <v>9015619318</v>
      </c>
      <c r="E320" s="57" t="s">
        <v>1002</v>
      </c>
      <c r="F320" s="97" t="s">
        <v>1563</v>
      </c>
      <c r="G320" s="58" t="s">
        <v>111</v>
      </c>
      <c r="H320" s="58" t="s">
        <v>65</v>
      </c>
      <c r="I320" s="58" t="s">
        <v>26</v>
      </c>
      <c r="J320" s="81" t="s">
        <v>66</v>
      </c>
    </row>
    <row r="321" spans="1:10" ht="15.75" customHeight="1" x14ac:dyDescent="0.3">
      <c r="A321" s="76" t="s">
        <v>1004</v>
      </c>
      <c r="B321" s="57" t="s">
        <v>29</v>
      </c>
      <c r="C321" s="57"/>
      <c r="D321" s="58"/>
      <c r="E321" s="57"/>
      <c r="F321" s="97" t="s">
        <v>1515</v>
      </c>
      <c r="G321" s="58" t="s">
        <v>111</v>
      </c>
      <c r="H321" s="58" t="s">
        <v>83</v>
      </c>
      <c r="I321" s="58"/>
      <c r="J321" s="81" t="s">
        <v>27</v>
      </c>
    </row>
    <row r="322" spans="1:10" ht="15.75" customHeight="1" x14ac:dyDescent="0.3">
      <c r="A322" s="73" t="s">
        <v>1005</v>
      </c>
      <c r="B322" s="55" t="s">
        <v>29</v>
      </c>
      <c r="C322" s="55" t="s">
        <v>12</v>
      </c>
      <c r="D322" s="56">
        <v>9213760375</v>
      </c>
      <c r="E322" s="55"/>
      <c r="F322" s="94" t="s">
        <v>1590</v>
      </c>
      <c r="G322" s="56" t="s">
        <v>79</v>
      </c>
      <c r="H322" s="56" t="s">
        <v>25</v>
      </c>
      <c r="I322" s="56" t="s">
        <v>26</v>
      </c>
      <c r="J322" s="78" t="s">
        <v>27</v>
      </c>
    </row>
    <row r="323" spans="1:10" ht="15.75" customHeight="1" x14ac:dyDescent="0.3">
      <c r="A323" s="76" t="s">
        <v>1007</v>
      </c>
      <c r="B323" s="57" t="s">
        <v>11</v>
      </c>
      <c r="C323" s="57" t="s">
        <v>119</v>
      </c>
      <c r="D323" s="58">
        <v>9678507208</v>
      </c>
      <c r="E323" s="57"/>
      <c r="F323" s="97" t="s">
        <v>1552</v>
      </c>
      <c r="G323" s="58" t="s">
        <v>111</v>
      </c>
      <c r="H323" s="58" t="s">
        <v>42</v>
      </c>
      <c r="I323" s="58"/>
      <c r="J323" s="81" t="s">
        <v>66</v>
      </c>
    </row>
    <row r="324" spans="1:10" ht="15.75" customHeight="1" x14ac:dyDescent="0.3">
      <c r="A324" s="75" t="s">
        <v>1010</v>
      </c>
      <c r="B324" s="61" t="s">
        <v>134</v>
      </c>
      <c r="C324" s="61"/>
      <c r="D324" s="62">
        <v>9466845504</v>
      </c>
      <c r="E324" s="61"/>
      <c r="F324" s="96" t="s">
        <v>1587</v>
      </c>
      <c r="G324" s="62" t="s">
        <v>54</v>
      </c>
      <c r="H324" s="62" t="s">
        <v>83</v>
      </c>
      <c r="I324" s="62" t="s">
        <v>26</v>
      </c>
      <c r="J324" s="80" t="s">
        <v>51</v>
      </c>
    </row>
    <row r="325" spans="1:10" ht="15.75" customHeight="1" x14ac:dyDescent="0.3">
      <c r="A325" s="73" t="s">
        <v>1013</v>
      </c>
      <c r="B325" s="55" t="s">
        <v>11</v>
      </c>
      <c r="C325" s="55" t="s">
        <v>37</v>
      </c>
      <c r="D325" s="56">
        <v>9856288431</v>
      </c>
      <c r="E325" s="55" t="s">
        <v>1015</v>
      </c>
      <c r="F325" s="94" t="s">
        <v>1595</v>
      </c>
      <c r="G325" s="56" t="s">
        <v>79</v>
      </c>
      <c r="H325" s="56" t="s">
        <v>1619</v>
      </c>
      <c r="I325" s="56"/>
      <c r="J325" s="78" t="s">
        <v>27</v>
      </c>
    </row>
    <row r="326" spans="1:10" ht="15.75" customHeight="1" x14ac:dyDescent="0.3">
      <c r="A326" s="72" t="s">
        <v>1017</v>
      </c>
      <c r="B326" s="53" t="s">
        <v>227</v>
      </c>
      <c r="C326" s="53" t="s">
        <v>12</v>
      </c>
      <c r="D326" s="54"/>
      <c r="E326" s="53"/>
      <c r="F326" s="93" t="s">
        <v>1579</v>
      </c>
      <c r="G326" s="54" t="s">
        <v>16</v>
      </c>
      <c r="H326" s="54" t="s">
        <v>25</v>
      </c>
      <c r="I326" s="54"/>
      <c r="J326" s="77" t="s">
        <v>27</v>
      </c>
    </row>
    <row r="327" spans="1:10" ht="15.75" customHeight="1" x14ac:dyDescent="0.3">
      <c r="A327" s="72" t="s">
        <v>1018</v>
      </c>
      <c r="B327" s="53" t="s">
        <v>597</v>
      </c>
      <c r="C327" s="53" t="s">
        <v>62</v>
      </c>
      <c r="D327" s="54"/>
      <c r="E327" s="53" t="s">
        <v>469</v>
      </c>
      <c r="F327" s="93" t="s">
        <v>1523</v>
      </c>
      <c r="G327" s="54" t="s">
        <v>16</v>
      </c>
      <c r="H327" s="54" t="s">
        <v>42</v>
      </c>
      <c r="I327" s="54" t="s">
        <v>26</v>
      </c>
      <c r="J327" s="77" t="s">
        <v>91</v>
      </c>
    </row>
    <row r="328" spans="1:10" ht="15.75" customHeight="1" x14ac:dyDescent="0.3">
      <c r="A328" s="76" t="s">
        <v>1019</v>
      </c>
      <c r="B328" s="57" t="s">
        <v>597</v>
      </c>
      <c r="C328" s="57"/>
      <c r="D328" s="58">
        <v>9698864976</v>
      </c>
      <c r="E328" s="57" t="s">
        <v>1021</v>
      </c>
      <c r="F328" s="97" t="s">
        <v>1520</v>
      </c>
      <c r="G328" s="58" t="s">
        <v>111</v>
      </c>
      <c r="H328" s="58" t="s">
        <v>83</v>
      </c>
      <c r="I328" s="58" t="s">
        <v>26</v>
      </c>
      <c r="J328" s="81" t="s">
        <v>91</v>
      </c>
    </row>
    <row r="329" spans="1:10" ht="15.75" customHeight="1" x14ac:dyDescent="0.3">
      <c r="A329" s="73" t="s">
        <v>362</v>
      </c>
      <c r="B329" s="55" t="s">
        <v>134</v>
      </c>
      <c r="C329" s="55" t="s">
        <v>37</v>
      </c>
      <c r="D329" s="56">
        <v>9770285196</v>
      </c>
      <c r="E329" s="55"/>
      <c r="F329" s="94" t="s">
        <v>1557</v>
      </c>
      <c r="G329" s="56" t="s">
        <v>79</v>
      </c>
      <c r="H329" s="56" t="s">
        <v>65</v>
      </c>
      <c r="I329" s="56" t="s">
        <v>18</v>
      </c>
      <c r="J329" s="78" t="s">
        <v>34</v>
      </c>
    </row>
    <row r="330" spans="1:10" ht="15.75" customHeight="1" x14ac:dyDescent="0.3">
      <c r="A330" s="73" t="s">
        <v>1023</v>
      </c>
      <c r="B330" s="55" t="s">
        <v>157</v>
      </c>
      <c r="C330" s="55" t="s">
        <v>37</v>
      </c>
      <c r="D330" s="56">
        <v>9296044327</v>
      </c>
      <c r="E330" s="55"/>
      <c r="F330" s="94" t="s">
        <v>1570</v>
      </c>
      <c r="G330" s="56" t="s">
        <v>79</v>
      </c>
      <c r="H330" s="56" t="s">
        <v>72</v>
      </c>
      <c r="I330" s="56" t="s">
        <v>18</v>
      </c>
      <c r="J330" s="78" t="s">
        <v>91</v>
      </c>
    </row>
    <row r="331" spans="1:10" ht="15.75" customHeight="1" x14ac:dyDescent="0.3">
      <c r="A331" s="73" t="s">
        <v>779</v>
      </c>
      <c r="B331" s="55" t="s">
        <v>157</v>
      </c>
      <c r="C331" s="55" t="s">
        <v>62</v>
      </c>
      <c r="D331" s="56"/>
      <c r="E331" s="55" t="s">
        <v>163</v>
      </c>
      <c r="F331" s="94" t="s">
        <v>1594</v>
      </c>
      <c r="G331" s="56" t="s">
        <v>79</v>
      </c>
      <c r="H331" s="56" t="s">
        <v>83</v>
      </c>
      <c r="I331" s="56" t="s">
        <v>26</v>
      </c>
      <c r="J331" s="78" t="s">
        <v>34</v>
      </c>
    </row>
    <row r="332" spans="1:10" ht="15.75" customHeight="1" x14ac:dyDescent="0.3">
      <c r="A332" s="76" t="s">
        <v>1025</v>
      </c>
      <c r="B332" s="57" t="s">
        <v>202</v>
      </c>
      <c r="C332" s="57" t="s">
        <v>45</v>
      </c>
      <c r="D332" s="58">
        <v>9818139890</v>
      </c>
      <c r="E332" s="57" t="s">
        <v>1027</v>
      </c>
      <c r="F332" s="97" t="s">
        <v>1528</v>
      </c>
      <c r="G332" s="58" t="s">
        <v>111</v>
      </c>
      <c r="H332" s="58" t="s">
        <v>72</v>
      </c>
      <c r="I332" s="58"/>
      <c r="J332" s="81" t="s">
        <v>19</v>
      </c>
    </row>
    <row r="333" spans="1:10" ht="15.75" customHeight="1" x14ac:dyDescent="0.3">
      <c r="A333" s="72" t="s">
        <v>1028</v>
      </c>
      <c r="B333" s="53" t="s">
        <v>597</v>
      </c>
      <c r="C333" s="53"/>
      <c r="D333" s="54">
        <v>9956907056</v>
      </c>
      <c r="E333" s="53" t="s">
        <v>1030</v>
      </c>
      <c r="F333" s="93" t="s">
        <v>1577</v>
      </c>
      <c r="G333" s="54" t="s">
        <v>16</v>
      </c>
      <c r="H333" s="54" t="s">
        <v>65</v>
      </c>
      <c r="I333" s="54" t="s">
        <v>18</v>
      </c>
      <c r="J333" s="77" t="s">
        <v>143</v>
      </c>
    </row>
    <row r="334" spans="1:10" ht="15.75" customHeight="1" x14ac:dyDescent="0.3">
      <c r="A334" s="73" t="s">
        <v>1031</v>
      </c>
      <c r="B334" s="55" t="s">
        <v>227</v>
      </c>
      <c r="C334" s="55"/>
      <c r="D334" s="56"/>
      <c r="E334" s="55"/>
      <c r="F334" s="94" t="s">
        <v>1566</v>
      </c>
      <c r="G334" s="56" t="s">
        <v>79</v>
      </c>
      <c r="H334" s="56" t="s">
        <v>17</v>
      </c>
      <c r="I334" s="56" t="s">
        <v>18</v>
      </c>
      <c r="J334" s="78"/>
    </row>
    <row r="335" spans="1:10" ht="15.75" customHeight="1" x14ac:dyDescent="0.3">
      <c r="A335" s="75" t="s">
        <v>1033</v>
      </c>
      <c r="B335" s="61" t="s">
        <v>202</v>
      </c>
      <c r="C335" s="61"/>
      <c r="D335" s="62">
        <v>9937886140</v>
      </c>
      <c r="E335" s="61" t="s">
        <v>898</v>
      </c>
      <c r="F335" s="96" t="s">
        <v>1593</v>
      </c>
      <c r="G335" s="62" t="s">
        <v>54</v>
      </c>
      <c r="H335" s="62" t="s">
        <v>49</v>
      </c>
      <c r="I335" s="62" t="s">
        <v>18</v>
      </c>
      <c r="J335" s="80" t="s">
        <v>27</v>
      </c>
    </row>
    <row r="336" spans="1:10" ht="15.75" customHeight="1" x14ac:dyDescent="0.3">
      <c r="A336" s="73" t="s">
        <v>1036</v>
      </c>
      <c r="B336" s="55" t="s">
        <v>202</v>
      </c>
      <c r="C336" s="55" t="s">
        <v>62</v>
      </c>
      <c r="D336" s="56">
        <v>9496718325</v>
      </c>
      <c r="E336" s="55" t="s">
        <v>1038</v>
      </c>
      <c r="F336" s="94" t="s">
        <v>1523</v>
      </c>
      <c r="G336" s="56" t="s">
        <v>79</v>
      </c>
      <c r="H336" s="56" t="s">
        <v>1619</v>
      </c>
      <c r="I336" s="56" t="s">
        <v>26</v>
      </c>
      <c r="J336" s="78" t="s">
        <v>34</v>
      </c>
    </row>
    <row r="337" spans="1:10" ht="15.75" customHeight="1" x14ac:dyDescent="0.3">
      <c r="A337" s="72" t="s">
        <v>1039</v>
      </c>
      <c r="B337" s="53" t="s">
        <v>134</v>
      </c>
      <c r="C337" s="53"/>
      <c r="D337" s="54">
        <v>9494653984</v>
      </c>
      <c r="E337" s="53" t="s">
        <v>762</v>
      </c>
      <c r="F337" s="93" t="s">
        <v>1579</v>
      </c>
      <c r="G337" s="54" t="s">
        <v>16</v>
      </c>
      <c r="H337" s="54" t="s">
        <v>125</v>
      </c>
      <c r="I337" s="54" t="s">
        <v>26</v>
      </c>
      <c r="J337" s="77" t="s">
        <v>27</v>
      </c>
    </row>
    <row r="338" spans="1:10" ht="15.75" customHeight="1" x14ac:dyDescent="0.3">
      <c r="A338" s="72" t="s">
        <v>1041</v>
      </c>
      <c r="B338" s="53" t="s">
        <v>227</v>
      </c>
      <c r="C338" s="53" t="s">
        <v>45</v>
      </c>
      <c r="D338" s="54">
        <v>9547435537</v>
      </c>
      <c r="E338" s="53" t="s">
        <v>1043</v>
      </c>
      <c r="F338" s="93" t="s">
        <v>1567</v>
      </c>
      <c r="G338" s="54" t="s">
        <v>16</v>
      </c>
      <c r="H338" s="54" t="s">
        <v>1619</v>
      </c>
      <c r="I338" s="54" t="s">
        <v>18</v>
      </c>
      <c r="J338" s="77" t="s">
        <v>143</v>
      </c>
    </row>
    <row r="339" spans="1:10" ht="15.75" customHeight="1" x14ac:dyDescent="0.3">
      <c r="A339" s="72" t="s">
        <v>1045</v>
      </c>
      <c r="B339" s="53" t="s">
        <v>206</v>
      </c>
      <c r="C339" s="53" t="s">
        <v>62</v>
      </c>
      <c r="D339" s="54"/>
      <c r="E339" s="53" t="s">
        <v>1046</v>
      </c>
      <c r="F339" s="93" t="s">
        <v>1558</v>
      </c>
      <c r="G339" s="54" t="s">
        <v>16</v>
      </c>
      <c r="H339" s="54" t="s">
        <v>25</v>
      </c>
      <c r="I339" s="54" t="s">
        <v>26</v>
      </c>
      <c r="J339" s="77" t="s">
        <v>66</v>
      </c>
    </row>
    <row r="340" spans="1:10" ht="15.75" customHeight="1" x14ac:dyDescent="0.3">
      <c r="A340" s="75" t="s">
        <v>1047</v>
      </c>
      <c r="B340" s="61" t="s">
        <v>597</v>
      </c>
      <c r="C340" s="61" t="s">
        <v>62</v>
      </c>
      <c r="D340" s="62">
        <v>9319433750</v>
      </c>
      <c r="E340" s="61" t="s">
        <v>1049</v>
      </c>
      <c r="F340" s="96" t="s">
        <v>1515</v>
      </c>
      <c r="G340" s="62" t="s">
        <v>54</v>
      </c>
      <c r="H340" s="62" t="s">
        <v>42</v>
      </c>
      <c r="I340" s="62" t="s">
        <v>18</v>
      </c>
      <c r="J340" s="80" t="s">
        <v>34</v>
      </c>
    </row>
    <row r="341" spans="1:10" ht="15.75" customHeight="1" x14ac:dyDescent="0.3">
      <c r="A341" s="73" t="s">
        <v>1050</v>
      </c>
      <c r="B341" s="55" t="s">
        <v>36</v>
      </c>
      <c r="C341" s="55" t="s">
        <v>62</v>
      </c>
      <c r="D341" s="56">
        <v>9992192124</v>
      </c>
      <c r="E341" s="55" t="s">
        <v>1052</v>
      </c>
      <c r="F341" s="94" t="s">
        <v>1592</v>
      </c>
      <c r="G341" s="56" t="s">
        <v>79</v>
      </c>
      <c r="H341" s="56" t="s">
        <v>72</v>
      </c>
      <c r="I341" s="56" t="s">
        <v>26</v>
      </c>
      <c r="J341" s="78" t="s">
        <v>27</v>
      </c>
    </row>
    <row r="342" spans="1:10" ht="15.75" customHeight="1" x14ac:dyDescent="0.3">
      <c r="A342" s="72" t="s">
        <v>1053</v>
      </c>
      <c r="B342" s="53" t="s">
        <v>29</v>
      </c>
      <c r="C342" s="53" t="s">
        <v>62</v>
      </c>
      <c r="D342" s="54">
        <v>9566418775</v>
      </c>
      <c r="E342" s="53" t="s">
        <v>1055</v>
      </c>
      <c r="F342" s="93" t="s">
        <v>1561</v>
      </c>
      <c r="G342" s="54" t="s">
        <v>16</v>
      </c>
      <c r="H342" s="54" t="s">
        <v>17</v>
      </c>
      <c r="I342" s="54" t="s">
        <v>18</v>
      </c>
      <c r="J342" s="77"/>
    </row>
    <row r="343" spans="1:10" ht="15.75" customHeight="1" x14ac:dyDescent="0.3">
      <c r="A343" s="73" t="s">
        <v>1056</v>
      </c>
      <c r="B343" s="55" t="s">
        <v>597</v>
      </c>
      <c r="C343" s="55"/>
      <c r="D343" s="56">
        <v>9036133254</v>
      </c>
      <c r="E343" s="55"/>
      <c r="F343" s="94" t="s">
        <v>1526</v>
      </c>
      <c r="G343" s="56" t="s">
        <v>79</v>
      </c>
      <c r="H343" s="56" t="s">
        <v>17</v>
      </c>
      <c r="I343" s="56"/>
      <c r="J343" s="78" t="s">
        <v>34</v>
      </c>
    </row>
    <row r="344" spans="1:10" ht="15.75" customHeight="1" x14ac:dyDescent="0.3">
      <c r="A344" s="72" t="s">
        <v>1059</v>
      </c>
      <c r="B344" s="53" t="s">
        <v>597</v>
      </c>
      <c r="C344" s="53" t="s">
        <v>12</v>
      </c>
      <c r="D344" s="54">
        <v>9583199717</v>
      </c>
      <c r="E344" s="53"/>
      <c r="F344" s="93" t="s">
        <v>1510</v>
      </c>
      <c r="G344" s="54" t="s">
        <v>16</v>
      </c>
      <c r="H344" s="54" t="s">
        <v>65</v>
      </c>
      <c r="I344" s="54"/>
      <c r="J344" s="77" t="s">
        <v>143</v>
      </c>
    </row>
    <row r="345" spans="1:10" ht="15.75" customHeight="1" x14ac:dyDescent="0.3">
      <c r="A345" s="72" t="s">
        <v>1062</v>
      </c>
      <c r="B345" s="53" t="s">
        <v>193</v>
      </c>
      <c r="C345" s="53"/>
      <c r="D345" s="54">
        <v>9611080466</v>
      </c>
      <c r="E345" s="53" t="s">
        <v>1064</v>
      </c>
      <c r="F345" s="93" t="s">
        <v>1574</v>
      </c>
      <c r="G345" s="54" t="s">
        <v>16</v>
      </c>
      <c r="H345" s="54" t="s">
        <v>42</v>
      </c>
      <c r="I345" s="54" t="s">
        <v>18</v>
      </c>
      <c r="J345" s="77" t="s">
        <v>106</v>
      </c>
    </row>
    <row r="346" spans="1:10" ht="15.75" customHeight="1" x14ac:dyDescent="0.3">
      <c r="A346" s="76" t="s">
        <v>1066</v>
      </c>
      <c r="B346" s="57" t="s">
        <v>157</v>
      </c>
      <c r="C346" s="57" t="s">
        <v>12</v>
      </c>
      <c r="D346" s="58">
        <v>9311091939</v>
      </c>
      <c r="E346" s="57" t="s">
        <v>1068</v>
      </c>
      <c r="F346" s="97" t="s">
        <v>1526</v>
      </c>
      <c r="G346" s="58" t="s">
        <v>111</v>
      </c>
      <c r="H346" s="58" t="s">
        <v>49</v>
      </c>
      <c r="I346" s="58" t="s">
        <v>18</v>
      </c>
      <c r="J346" s="81" t="s">
        <v>143</v>
      </c>
    </row>
    <row r="347" spans="1:10" ht="15.75" customHeight="1" x14ac:dyDescent="0.3">
      <c r="A347" s="73" t="s">
        <v>1069</v>
      </c>
      <c r="B347" s="55" t="s">
        <v>227</v>
      </c>
      <c r="C347" s="55" t="s">
        <v>62</v>
      </c>
      <c r="D347" s="56">
        <v>9498227495</v>
      </c>
      <c r="E347" s="55"/>
      <c r="F347" s="94" t="s">
        <v>1517</v>
      </c>
      <c r="G347" s="56" t="s">
        <v>79</v>
      </c>
      <c r="H347" s="56" t="s">
        <v>49</v>
      </c>
      <c r="I347" s="56" t="s">
        <v>26</v>
      </c>
      <c r="J347" s="78" t="s">
        <v>51</v>
      </c>
    </row>
    <row r="348" spans="1:10" ht="15.75" customHeight="1" x14ac:dyDescent="0.3">
      <c r="A348" s="72" t="s">
        <v>1071</v>
      </c>
      <c r="B348" s="53" t="s">
        <v>597</v>
      </c>
      <c r="C348" s="53" t="s">
        <v>22</v>
      </c>
      <c r="D348" s="54">
        <v>9537795995</v>
      </c>
      <c r="E348" s="53" t="s">
        <v>1073</v>
      </c>
      <c r="F348" s="93" t="s">
        <v>1538</v>
      </c>
      <c r="G348" s="54" t="s">
        <v>16</v>
      </c>
      <c r="H348" s="54" t="s">
        <v>49</v>
      </c>
      <c r="I348" s="54" t="s">
        <v>26</v>
      </c>
      <c r="J348" s="77" t="s">
        <v>19</v>
      </c>
    </row>
    <row r="349" spans="1:10" ht="15.75" customHeight="1" x14ac:dyDescent="0.3">
      <c r="A349" s="74" t="s">
        <v>1074</v>
      </c>
      <c r="B349" s="59" t="s">
        <v>597</v>
      </c>
      <c r="C349" s="59" t="s">
        <v>22</v>
      </c>
      <c r="D349" s="60">
        <v>9563620501</v>
      </c>
      <c r="E349" s="59"/>
      <c r="F349" s="95" t="s">
        <v>1511</v>
      </c>
      <c r="G349" s="60" t="s">
        <v>48</v>
      </c>
      <c r="H349" s="60" t="s">
        <v>17</v>
      </c>
      <c r="I349" s="60" t="s">
        <v>18</v>
      </c>
      <c r="J349" s="79" t="s">
        <v>66</v>
      </c>
    </row>
    <row r="350" spans="1:10" ht="15.75" customHeight="1" x14ac:dyDescent="0.3">
      <c r="A350" s="72" t="s">
        <v>1076</v>
      </c>
      <c r="B350" s="53" t="s">
        <v>597</v>
      </c>
      <c r="C350" s="53" t="s">
        <v>22</v>
      </c>
      <c r="D350" s="54">
        <v>9258323024</v>
      </c>
      <c r="E350" s="53"/>
      <c r="F350" s="93" t="s">
        <v>1591</v>
      </c>
      <c r="G350" s="54" t="s">
        <v>16</v>
      </c>
      <c r="H350" s="54" t="s">
        <v>65</v>
      </c>
      <c r="I350" s="54" t="s">
        <v>18</v>
      </c>
      <c r="J350" s="77" t="s">
        <v>19</v>
      </c>
    </row>
    <row r="351" spans="1:10" ht="15.75" customHeight="1" x14ac:dyDescent="0.3">
      <c r="A351" s="75" t="s">
        <v>1078</v>
      </c>
      <c r="B351" s="61" t="s">
        <v>227</v>
      </c>
      <c r="C351" s="61"/>
      <c r="D351" s="62">
        <v>9289611223</v>
      </c>
      <c r="E351" s="61" t="s">
        <v>1080</v>
      </c>
      <c r="F351" s="96" t="s">
        <v>1581</v>
      </c>
      <c r="G351" s="62" t="s">
        <v>54</v>
      </c>
      <c r="H351" s="62" t="s">
        <v>25</v>
      </c>
      <c r="I351" s="62"/>
      <c r="J351" s="80" t="s">
        <v>27</v>
      </c>
    </row>
    <row r="352" spans="1:10" ht="15.75" customHeight="1" x14ac:dyDescent="0.3">
      <c r="A352" s="72" t="s">
        <v>1082</v>
      </c>
      <c r="B352" s="53" t="s">
        <v>227</v>
      </c>
      <c r="C352" s="53" t="s">
        <v>37</v>
      </c>
      <c r="D352" s="54">
        <v>9289731791</v>
      </c>
      <c r="E352" s="53" t="s">
        <v>1084</v>
      </c>
      <c r="F352" s="93" t="s">
        <v>1576</v>
      </c>
      <c r="G352" s="54" t="s">
        <v>16</v>
      </c>
      <c r="H352" s="54" t="s">
        <v>125</v>
      </c>
      <c r="I352" s="54" t="s">
        <v>18</v>
      </c>
      <c r="J352" s="77" t="s">
        <v>51</v>
      </c>
    </row>
    <row r="353" spans="1:10" ht="15.75" customHeight="1" x14ac:dyDescent="0.3">
      <c r="A353" s="72" t="s">
        <v>1086</v>
      </c>
      <c r="B353" s="53" t="s">
        <v>29</v>
      </c>
      <c r="C353" s="53" t="s">
        <v>45</v>
      </c>
      <c r="D353" s="54">
        <v>9903337363</v>
      </c>
      <c r="E353" s="53" t="s">
        <v>754</v>
      </c>
      <c r="F353" s="93" t="s">
        <v>1590</v>
      </c>
      <c r="G353" s="54" t="s">
        <v>16</v>
      </c>
      <c r="H353" s="54" t="s">
        <v>65</v>
      </c>
      <c r="I353" s="54" t="s">
        <v>18</v>
      </c>
      <c r="J353" s="77" t="s">
        <v>91</v>
      </c>
    </row>
    <row r="354" spans="1:10" ht="15.75" customHeight="1" x14ac:dyDescent="0.3">
      <c r="A354" s="74" t="s">
        <v>1088</v>
      </c>
      <c r="B354" s="59" t="s">
        <v>157</v>
      </c>
      <c r="C354" s="59" t="s">
        <v>119</v>
      </c>
      <c r="D354" s="60">
        <v>9956776657</v>
      </c>
      <c r="E354" s="59"/>
      <c r="F354" s="95" t="s">
        <v>1514</v>
      </c>
      <c r="G354" s="60" t="s">
        <v>48</v>
      </c>
      <c r="H354" s="60" t="s">
        <v>17</v>
      </c>
      <c r="I354" s="60" t="s">
        <v>18</v>
      </c>
      <c r="J354" s="79" t="s">
        <v>34</v>
      </c>
    </row>
    <row r="355" spans="1:10" ht="15.75" customHeight="1" x14ac:dyDescent="0.3">
      <c r="A355" s="74" t="s">
        <v>1091</v>
      </c>
      <c r="B355" s="59" t="s">
        <v>202</v>
      </c>
      <c r="C355" s="59" t="s">
        <v>37</v>
      </c>
      <c r="D355" s="60">
        <v>9150835354</v>
      </c>
      <c r="E355" s="59" t="s">
        <v>77</v>
      </c>
      <c r="F355" s="95" t="s">
        <v>1589</v>
      </c>
      <c r="G355" s="60" t="s">
        <v>48</v>
      </c>
      <c r="H355" s="60" t="s">
        <v>1619</v>
      </c>
      <c r="I355" s="60" t="s">
        <v>18</v>
      </c>
      <c r="J355" s="79" t="s">
        <v>34</v>
      </c>
    </row>
    <row r="356" spans="1:10" ht="15.75" customHeight="1" x14ac:dyDescent="0.3">
      <c r="A356" s="73" t="s">
        <v>1094</v>
      </c>
      <c r="B356" s="55" t="s">
        <v>157</v>
      </c>
      <c r="C356" s="55"/>
      <c r="D356" s="56">
        <v>9078263337</v>
      </c>
      <c r="E356" s="55" t="s">
        <v>1096</v>
      </c>
      <c r="F356" s="94" t="s">
        <v>1588</v>
      </c>
      <c r="G356" s="56" t="s">
        <v>79</v>
      </c>
      <c r="H356" s="56" t="s">
        <v>17</v>
      </c>
      <c r="I356" s="56"/>
      <c r="J356" s="78" t="s">
        <v>19</v>
      </c>
    </row>
    <row r="357" spans="1:10" ht="15.75" customHeight="1" x14ac:dyDescent="0.3">
      <c r="A357" s="73" t="s">
        <v>1097</v>
      </c>
      <c r="B357" s="55" t="s">
        <v>206</v>
      </c>
      <c r="C357" s="55" t="s">
        <v>119</v>
      </c>
      <c r="D357" s="56">
        <v>9052924075</v>
      </c>
      <c r="E357" s="55" t="s">
        <v>1015</v>
      </c>
      <c r="F357" s="94" t="s">
        <v>1587</v>
      </c>
      <c r="G357" s="56" t="s">
        <v>79</v>
      </c>
      <c r="H357" s="56" t="s">
        <v>49</v>
      </c>
      <c r="I357" s="56" t="s">
        <v>26</v>
      </c>
      <c r="J357" s="78" t="s">
        <v>143</v>
      </c>
    </row>
    <row r="358" spans="1:10" ht="15.75" customHeight="1" x14ac:dyDescent="0.3">
      <c r="A358" s="73" t="s">
        <v>1100</v>
      </c>
      <c r="B358" s="55" t="s">
        <v>157</v>
      </c>
      <c r="C358" s="55" t="s">
        <v>22</v>
      </c>
      <c r="D358" s="56"/>
      <c r="E358" s="55"/>
      <c r="F358" s="94" t="s">
        <v>1562</v>
      </c>
      <c r="G358" s="56" t="s">
        <v>79</v>
      </c>
      <c r="H358" s="56" t="s">
        <v>83</v>
      </c>
      <c r="I358" s="56" t="s">
        <v>18</v>
      </c>
      <c r="J358" s="78" t="s">
        <v>143</v>
      </c>
    </row>
    <row r="359" spans="1:10" ht="15.75" customHeight="1" x14ac:dyDescent="0.3">
      <c r="A359" s="72" t="s">
        <v>1101</v>
      </c>
      <c r="B359" s="53" t="s">
        <v>597</v>
      </c>
      <c r="C359" s="53" t="s">
        <v>119</v>
      </c>
      <c r="D359" s="54">
        <v>9334817058</v>
      </c>
      <c r="E359" s="53" t="s">
        <v>1103</v>
      </c>
      <c r="F359" s="93" t="s">
        <v>1571</v>
      </c>
      <c r="G359" s="54" t="s">
        <v>16</v>
      </c>
      <c r="H359" s="54" t="s">
        <v>42</v>
      </c>
      <c r="I359" s="54" t="s">
        <v>26</v>
      </c>
      <c r="J359" s="77" t="s">
        <v>106</v>
      </c>
    </row>
    <row r="360" spans="1:10" ht="15.75" customHeight="1" x14ac:dyDescent="0.3">
      <c r="A360" s="72" t="s">
        <v>1104</v>
      </c>
      <c r="B360" s="53" t="s">
        <v>11</v>
      </c>
      <c r="C360" s="53" t="s">
        <v>22</v>
      </c>
      <c r="D360" s="54"/>
      <c r="E360" s="53" t="s">
        <v>199</v>
      </c>
      <c r="F360" s="93" t="s">
        <v>1516</v>
      </c>
      <c r="G360" s="54" t="s">
        <v>16</v>
      </c>
      <c r="H360" s="54" t="s">
        <v>25</v>
      </c>
      <c r="I360" s="54" t="s">
        <v>18</v>
      </c>
      <c r="J360" s="77" t="s">
        <v>51</v>
      </c>
    </row>
    <row r="361" spans="1:10" ht="15.75" customHeight="1" x14ac:dyDescent="0.3">
      <c r="A361" s="72" t="s">
        <v>1105</v>
      </c>
      <c r="B361" s="53" t="s">
        <v>29</v>
      </c>
      <c r="C361" s="53" t="s">
        <v>37</v>
      </c>
      <c r="D361" s="54">
        <v>9475469263</v>
      </c>
      <c r="E361" s="53" t="s">
        <v>363</v>
      </c>
      <c r="F361" s="93" t="s">
        <v>1566</v>
      </c>
      <c r="G361" s="54" t="s">
        <v>16</v>
      </c>
      <c r="H361" s="54" t="s">
        <v>49</v>
      </c>
      <c r="I361" s="54" t="s">
        <v>26</v>
      </c>
      <c r="J361" s="77" t="s">
        <v>143</v>
      </c>
    </row>
    <row r="362" spans="1:10" ht="15.75" customHeight="1" x14ac:dyDescent="0.3">
      <c r="A362" s="73" t="s">
        <v>1107</v>
      </c>
      <c r="B362" s="55" t="s">
        <v>227</v>
      </c>
      <c r="C362" s="55" t="s">
        <v>37</v>
      </c>
      <c r="D362" s="56">
        <v>9768151185</v>
      </c>
      <c r="E362" s="55" t="s">
        <v>1109</v>
      </c>
      <c r="F362" s="94" t="s">
        <v>1563</v>
      </c>
      <c r="G362" s="56" t="s">
        <v>79</v>
      </c>
      <c r="H362" s="56" t="s">
        <v>1619</v>
      </c>
      <c r="I362" s="56" t="s">
        <v>26</v>
      </c>
      <c r="J362" s="78" t="s">
        <v>91</v>
      </c>
    </row>
    <row r="363" spans="1:10" ht="15.75" customHeight="1" x14ac:dyDescent="0.3">
      <c r="A363" s="72" t="s">
        <v>1111</v>
      </c>
      <c r="B363" s="53" t="s">
        <v>206</v>
      </c>
      <c r="C363" s="53"/>
      <c r="D363" s="54">
        <v>9600412577</v>
      </c>
      <c r="E363" s="53"/>
      <c r="F363" s="93" t="s">
        <v>1586</v>
      </c>
      <c r="G363" s="54" t="s">
        <v>16</v>
      </c>
      <c r="H363" s="54" t="s">
        <v>72</v>
      </c>
      <c r="I363" s="54"/>
      <c r="J363" s="77" t="s">
        <v>143</v>
      </c>
    </row>
    <row r="364" spans="1:10" ht="15.75" customHeight="1" x14ac:dyDescent="0.3">
      <c r="A364" s="72" t="s">
        <v>1114</v>
      </c>
      <c r="B364" s="53" t="s">
        <v>134</v>
      </c>
      <c r="C364" s="53" t="s">
        <v>22</v>
      </c>
      <c r="D364" s="54">
        <v>9186210427</v>
      </c>
      <c r="E364" s="53" t="s">
        <v>1116</v>
      </c>
      <c r="F364" s="93" t="s">
        <v>1585</v>
      </c>
      <c r="G364" s="54" t="s">
        <v>16</v>
      </c>
      <c r="H364" s="54" t="s">
        <v>65</v>
      </c>
      <c r="I364" s="54" t="s">
        <v>26</v>
      </c>
      <c r="J364" s="77" t="s">
        <v>34</v>
      </c>
    </row>
    <row r="365" spans="1:10" ht="15.75" customHeight="1" x14ac:dyDescent="0.3">
      <c r="A365" s="75" t="s">
        <v>1117</v>
      </c>
      <c r="B365" s="61" t="s">
        <v>29</v>
      </c>
      <c r="C365" s="61" t="s">
        <v>37</v>
      </c>
      <c r="D365" s="62">
        <v>9335331060</v>
      </c>
      <c r="E365" s="61"/>
      <c r="F365" s="96" t="s">
        <v>1560</v>
      </c>
      <c r="G365" s="62" t="s">
        <v>54</v>
      </c>
      <c r="H365" s="62" t="s">
        <v>65</v>
      </c>
      <c r="I365" s="62"/>
      <c r="J365" s="80" t="s">
        <v>143</v>
      </c>
    </row>
    <row r="366" spans="1:10" ht="15.75" customHeight="1" x14ac:dyDescent="0.3">
      <c r="A366" s="73" t="s">
        <v>1120</v>
      </c>
      <c r="B366" s="55" t="s">
        <v>134</v>
      </c>
      <c r="C366" s="55" t="s">
        <v>37</v>
      </c>
      <c r="D366" s="56">
        <v>9583938661</v>
      </c>
      <c r="E366" s="55" t="s">
        <v>1122</v>
      </c>
      <c r="F366" s="94" t="s">
        <v>1545</v>
      </c>
      <c r="G366" s="56" t="s">
        <v>79</v>
      </c>
      <c r="H366" s="56" t="s">
        <v>1619</v>
      </c>
      <c r="I366" s="56" t="s">
        <v>26</v>
      </c>
      <c r="J366" s="78" t="s">
        <v>91</v>
      </c>
    </row>
    <row r="367" spans="1:10" ht="15.75" customHeight="1" x14ac:dyDescent="0.3">
      <c r="A367" s="72" t="s">
        <v>1123</v>
      </c>
      <c r="B367" s="53" t="s">
        <v>597</v>
      </c>
      <c r="C367" s="53" t="s">
        <v>12</v>
      </c>
      <c r="D367" s="54"/>
      <c r="E367" s="53" t="s">
        <v>1124</v>
      </c>
      <c r="F367" s="93" t="s">
        <v>1584</v>
      </c>
      <c r="G367" s="54" t="s">
        <v>16</v>
      </c>
      <c r="H367" s="54" t="s">
        <v>42</v>
      </c>
      <c r="I367" s="54" t="s">
        <v>26</v>
      </c>
      <c r="J367" s="77" t="s">
        <v>143</v>
      </c>
    </row>
    <row r="368" spans="1:10" ht="15.75" customHeight="1" x14ac:dyDescent="0.3">
      <c r="A368" s="73" t="s">
        <v>1125</v>
      </c>
      <c r="B368" s="55" t="s">
        <v>157</v>
      </c>
      <c r="C368" s="55" t="s">
        <v>62</v>
      </c>
      <c r="D368" s="56"/>
      <c r="E368" s="55" t="s">
        <v>1126</v>
      </c>
      <c r="F368" s="94" t="s">
        <v>1582</v>
      </c>
      <c r="G368" s="56" t="s">
        <v>79</v>
      </c>
      <c r="H368" s="56" t="s">
        <v>65</v>
      </c>
      <c r="I368" s="56" t="s">
        <v>18</v>
      </c>
      <c r="J368" s="78" t="s">
        <v>19</v>
      </c>
    </row>
    <row r="369" spans="1:10" ht="15.75" customHeight="1" x14ac:dyDescent="0.3">
      <c r="A369" s="74" t="s">
        <v>1127</v>
      </c>
      <c r="B369" s="59" t="s">
        <v>11</v>
      </c>
      <c r="C369" s="59" t="s">
        <v>37</v>
      </c>
      <c r="D369" s="60"/>
      <c r="E369" s="59" t="s">
        <v>1128</v>
      </c>
      <c r="F369" s="95" t="s">
        <v>1583</v>
      </c>
      <c r="G369" s="60" t="s">
        <v>48</v>
      </c>
      <c r="H369" s="60" t="s">
        <v>49</v>
      </c>
      <c r="I369" s="60" t="s">
        <v>18</v>
      </c>
      <c r="J369" s="79"/>
    </row>
    <row r="370" spans="1:10" ht="15.75" customHeight="1" x14ac:dyDescent="0.3">
      <c r="A370" s="72" t="s">
        <v>1130</v>
      </c>
      <c r="B370" s="53" t="s">
        <v>227</v>
      </c>
      <c r="C370" s="53" t="s">
        <v>62</v>
      </c>
      <c r="D370" s="54">
        <v>9533803396</v>
      </c>
      <c r="E370" s="53" t="s">
        <v>436</v>
      </c>
      <c r="F370" s="93" t="s">
        <v>1512</v>
      </c>
      <c r="G370" s="54" t="s">
        <v>16</v>
      </c>
      <c r="H370" s="54" t="s">
        <v>49</v>
      </c>
      <c r="I370" s="54" t="s">
        <v>26</v>
      </c>
      <c r="J370" s="77" t="s">
        <v>143</v>
      </c>
    </row>
    <row r="371" spans="1:10" ht="15.75" customHeight="1" x14ac:dyDescent="0.3">
      <c r="A371" s="74" t="s">
        <v>1019</v>
      </c>
      <c r="B371" s="59" t="s">
        <v>597</v>
      </c>
      <c r="C371" s="59"/>
      <c r="D371" s="60"/>
      <c r="E371" s="59" t="s">
        <v>1049</v>
      </c>
      <c r="F371" s="95" t="s">
        <v>1582</v>
      </c>
      <c r="G371" s="60" t="s">
        <v>48</v>
      </c>
      <c r="H371" s="60" t="s">
        <v>25</v>
      </c>
      <c r="I371" s="60" t="s">
        <v>18</v>
      </c>
      <c r="J371" s="79" t="s">
        <v>91</v>
      </c>
    </row>
    <row r="372" spans="1:10" ht="15.75" customHeight="1" x14ac:dyDescent="0.3">
      <c r="A372" s="76" t="s">
        <v>1133</v>
      </c>
      <c r="B372" s="57" t="s">
        <v>202</v>
      </c>
      <c r="C372" s="57" t="s">
        <v>22</v>
      </c>
      <c r="D372" s="58">
        <v>9768962706</v>
      </c>
      <c r="E372" s="57" t="s">
        <v>888</v>
      </c>
      <c r="F372" s="97" t="s">
        <v>1581</v>
      </c>
      <c r="G372" s="58" t="s">
        <v>111</v>
      </c>
      <c r="H372" s="58" t="s">
        <v>83</v>
      </c>
      <c r="I372" s="58" t="s">
        <v>18</v>
      </c>
      <c r="J372" s="81" t="s">
        <v>91</v>
      </c>
    </row>
    <row r="373" spans="1:10" ht="15.75" customHeight="1" x14ac:dyDescent="0.3">
      <c r="A373" s="72" t="s">
        <v>1135</v>
      </c>
      <c r="B373" s="53" t="s">
        <v>227</v>
      </c>
      <c r="C373" s="53" t="s">
        <v>119</v>
      </c>
      <c r="D373" s="54"/>
      <c r="E373" s="53" t="s">
        <v>1136</v>
      </c>
      <c r="F373" s="93" t="s">
        <v>1571</v>
      </c>
      <c r="G373" s="54" t="s">
        <v>16</v>
      </c>
      <c r="H373" s="54" t="s">
        <v>65</v>
      </c>
      <c r="I373" s="54" t="s">
        <v>26</v>
      </c>
      <c r="J373" s="77" t="s">
        <v>66</v>
      </c>
    </row>
    <row r="374" spans="1:10" ht="15.75" customHeight="1" x14ac:dyDescent="0.3">
      <c r="A374" s="76" t="s">
        <v>1137</v>
      </c>
      <c r="B374" s="57" t="s">
        <v>202</v>
      </c>
      <c r="C374" s="57" t="s">
        <v>22</v>
      </c>
      <c r="D374" s="58"/>
      <c r="E374" s="57" t="s">
        <v>1138</v>
      </c>
      <c r="F374" s="97" t="s">
        <v>1580</v>
      </c>
      <c r="G374" s="58" t="s">
        <v>111</v>
      </c>
      <c r="H374" s="58" t="s">
        <v>83</v>
      </c>
      <c r="I374" s="58" t="s">
        <v>26</v>
      </c>
      <c r="J374" s="81" t="s">
        <v>143</v>
      </c>
    </row>
    <row r="375" spans="1:10" ht="15.75" customHeight="1" x14ac:dyDescent="0.3">
      <c r="A375" s="74" t="s">
        <v>1140</v>
      </c>
      <c r="B375" s="59" t="s">
        <v>227</v>
      </c>
      <c r="C375" s="59" t="s">
        <v>62</v>
      </c>
      <c r="D375" s="60">
        <v>9011669183</v>
      </c>
      <c r="E375" s="59" t="s">
        <v>1142</v>
      </c>
      <c r="F375" s="95" t="s">
        <v>1579</v>
      </c>
      <c r="G375" s="60" t="s">
        <v>48</v>
      </c>
      <c r="H375" s="60" t="s">
        <v>65</v>
      </c>
      <c r="I375" s="60" t="s">
        <v>18</v>
      </c>
      <c r="J375" s="79" t="s">
        <v>51</v>
      </c>
    </row>
    <row r="376" spans="1:10" ht="15.75" customHeight="1" x14ac:dyDescent="0.3">
      <c r="A376" s="76" t="s">
        <v>1143</v>
      </c>
      <c r="B376" s="57" t="s">
        <v>134</v>
      </c>
      <c r="C376" s="57" t="s">
        <v>62</v>
      </c>
      <c r="D376" s="58">
        <v>9402701168</v>
      </c>
      <c r="E376" s="57" t="s">
        <v>548</v>
      </c>
      <c r="F376" s="97" t="s">
        <v>1558</v>
      </c>
      <c r="G376" s="58" t="s">
        <v>111</v>
      </c>
      <c r="H376" s="58" t="s">
        <v>25</v>
      </c>
      <c r="I376" s="58" t="s">
        <v>26</v>
      </c>
      <c r="J376" s="81" t="s">
        <v>143</v>
      </c>
    </row>
    <row r="377" spans="1:10" ht="15.75" customHeight="1" x14ac:dyDescent="0.3">
      <c r="A377" s="72" t="s">
        <v>1145</v>
      </c>
      <c r="B377" s="53" t="s">
        <v>202</v>
      </c>
      <c r="C377" s="53" t="s">
        <v>22</v>
      </c>
      <c r="D377" s="54"/>
      <c r="E377" s="53"/>
      <c r="F377" s="93" t="s">
        <v>1578</v>
      </c>
      <c r="G377" s="54" t="s">
        <v>16</v>
      </c>
      <c r="H377" s="54" t="s">
        <v>17</v>
      </c>
      <c r="I377" s="54" t="s">
        <v>18</v>
      </c>
      <c r="J377" s="77" t="s">
        <v>19</v>
      </c>
    </row>
    <row r="378" spans="1:10" ht="15.75" customHeight="1" x14ac:dyDescent="0.3">
      <c r="A378" s="72" t="s">
        <v>1147</v>
      </c>
      <c r="B378" s="53" t="s">
        <v>29</v>
      </c>
      <c r="C378" s="53" t="s">
        <v>37</v>
      </c>
      <c r="D378" s="54">
        <v>9040901380</v>
      </c>
      <c r="E378" s="53" t="s">
        <v>1149</v>
      </c>
      <c r="F378" s="93" t="s">
        <v>1507</v>
      </c>
      <c r="G378" s="54" t="s">
        <v>16</v>
      </c>
      <c r="H378" s="54" t="s">
        <v>42</v>
      </c>
      <c r="I378" s="54" t="s">
        <v>18</v>
      </c>
      <c r="J378" s="77" t="s">
        <v>51</v>
      </c>
    </row>
    <row r="379" spans="1:10" ht="15.75" customHeight="1" x14ac:dyDescent="0.3">
      <c r="A379" s="74" t="s">
        <v>1150</v>
      </c>
      <c r="B379" s="59" t="s">
        <v>157</v>
      </c>
      <c r="C379" s="59" t="s">
        <v>12</v>
      </c>
      <c r="D379" s="60"/>
      <c r="E379" s="59" t="s">
        <v>1151</v>
      </c>
      <c r="F379" s="95" t="s">
        <v>1525</v>
      </c>
      <c r="G379" s="60" t="s">
        <v>48</v>
      </c>
      <c r="H379" s="60" t="s">
        <v>25</v>
      </c>
      <c r="I379" s="60" t="s">
        <v>18</v>
      </c>
      <c r="J379" s="79" t="s">
        <v>91</v>
      </c>
    </row>
    <row r="380" spans="1:10" ht="15.75" customHeight="1" x14ac:dyDescent="0.3">
      <c r="A380" s="72" t="s">
        <v>1153</v>
      </c>
      <c r="B380" s="53" t="s">
        <v>29</v>
      </c>
      <c r="C380" s="53" t="s">
        <v>37</v>
      </c>
      <c r="D380" s="54"/>
      <c r="E380" s="53"/>
      <c r="F380" s="93" t="s">
        <v>1523</v>
      </c>
      <c r="G380" s="54" t="s">
        <v>16</v>
      </c>
      <c r="H380" s="54" t="s">
        <v>72</v>
      </c>
      <c r="I380" s="54" t="s">
        <v>18</v>
      </c>
      <c r="J380" s="77" t="s">
        <v>19</v>
      </c>
    </row>
    <row r="381" spans="1:10" ht="15.75" customHeight="1" x14ac:dyDescent="0.3">
      <c r="A381" s="72" t="s">
        <v>1154</v>
      </c>
      <c r="B381" s="53" t="s">
        <v>134</v>
      </c>
      <c r="C381" s="53"/>
      <c r="D381" s="54">
        <v>9027148727</v>
      </c>
      <c r="E381" s="53" t="s">
        <v>337</v>
      </c>
      <c r="F381" s="93" t="s">
        <v>1522</v>
      </c>
      <c r="G381" s="54" t="s">
        <v>16</v>
      </c>
      <c r="H381" s="54" t="s">
        <v>49</v>
      </c>
      <c r="I381" s="54" t="s">
        <v>26</v>
      </c>
      <c r="J381" s="77" t="s">
        <v>51</v>
      </c>
    </row>
    <row r="382" spans="1:10" ht="15.75" customHeight="1" x14ac:dyDescent="0.3">
      <c r="A382" s="75" t="s">
        <v>1157</v>
      </c>
      <c r="B382" s="61" t="s">
        <v>206</v>
      </c>
      <c r="C382" s="61" t="s">
        <v>12</v>
      </c>
      <c r="D382" s="62">
        <v>9128715399</v>
      </c>
      <c r="E382" s="61" t="s">
        <v>1159</v>
      </c>
      <c r="F382" s="96" t="s">
        <v>1577</v>
      </c>
      <c r="G382" s="62" t="s">
        <v>54</v>
      </c>
      <c r="H382" s="62" t="s">
        <v>65</v>
      </c>
      <c r="I382" s="62" t="s">
        <v>18</v>
      </c>
      <c r="J382" s="80" t="s">
        <v>106</v>
      </c>
    </row>
    <row r="383" spans="1:10" ht="15.75" customHeight="1" x14ac:dyDescent="0.3">
      <c r="A383" s="73" t="s">
        <v>1160</v>
      </c>
      <c r="B383" s="55" t="s">
        <v>202</v>
      </c>
      <c r="C383" s="55" t="s">
        <v>45</v>
      </c>
      <c r="D383" s="56">
        <v>9195256904</v>
      </c>
      <c r="E383" s="55"/>
      <c r="F383" s="94" t="s">
        <v>1566</v>
      </c>
      <c r="G383" s="56" t="s">
        <v>79</v>
      </c>
      <c r="H383" s="56" t="s">
        <v>125</v>
      </c>
      <c r="I383" s="56" t="s">
        <v>18</v>
      </c>
      <c r="J383" s="78" t="s">
        <v>19</v>
      </c>
    </row>
    <row r="384" spans="1:10" ht="15.75" customHeight="1" x14ac:dyDescent="0.3">
      <c r="A384" s="74" t="s">
        <v>881</v>
      </c>
      <c r="B384" s="59" t="s">
        <v>202</v>
      </c>
      <c r="C384" s="59"/>
      <c r="D384" s="60">
        <v>9524377294</v>
      </c>
      <c r="E384" s="59" t="s">
        <v>1163</v>
      </c>
      <c r="F384" s="95" t="s">
        <v>1575</v>
      </c>
      <c r="G384" s="60" t="s">
        <v>48</v>
      </c>
      <c r="H384" s="60" t="s">
        <v>65</v>
      </c>
      <c r="I384" s="60" t="s">
        <v>18</v>
      </c>
      <c r="J384" s="79" t="s">
        <v>91</v>
      </c>
    </row>
    <row r="385" spans="1:10" ht="15.75" customHeight="1" x14ac:dyDescent="0.3">
      <c r="A385" s="73" t="s">
        <v>1164</v>
      </c>
      <c r="B385" s="55" t="s">
        <v>597</v>
      </c>
      <c r="C385" s="55" t="s">
        <v>119</v>
      </c>
      <c r="D385" s="56"/>
      <c r="E385" s="55" t="s">
        <v>432</v>
      </c>
      <c r="F385" s="94" t="s">
        <v>1548</v>
      </c>
      <c r="G385" s="56" t="s">
        <v>79</v>
      </c>
      <c r="H385" s="56" t="s">
        <v>83</v>
      </c>
      <c r="I385" s="56" t="s">
        <v>18</v>
      </c>
      <c r="J385" s="78"/>
    </row>
    <row r="386" spans="1:10" ht="15.75" customHeight="1" x14ac:dyDescent="0.3">
      <c r="A386" s="74" t="s">
        <v>1166</v>
      </c>
      <c r="B386" s="59" t="s">
        <v>206</v>
      </c>
      <c r="C386" s="59" t="s">
        <v>12</v>
      </c>
      <c r="D386" s="60">
        <v>9386125904</v>
      </c>
      <c r="E386" s="59" t="s">
        <v>706</v>
      </c>
      <c r="F386" s="95" t="s">
        <v>1559</v>
      </c>
      <c r="G386" s="60" t="s">
        <v>48</v>
      </c>
      <c r="H386" s="60" t="s">
        <v>25</v>
      </c>
      <c r="I386" s="60" t="s">
        <v>26</v>
      </c>
      <c r="J386" s="79" t="s">
        <v>19</v>
      </c>
    </row>
    <row r="387" spans="1:10" ht="15.75" customHeight="1" x14ac:dyDescent="0.3">
      <c r="A387" s="72" t="s">
        <v>133</v>
      </c>
      <c r="B387" s="53" t="s">
        <v>153</v>
      </c>
      <c r="C387" s="53" t="s">
        <v>45</v>
      </c>
      <c r="D387" s="54">
        <v>9266201572</v>
      </c>
      <c r="E387" s="53"/>
      <c r="F387" s="93" t="s">
        <v>1576</v>
      </c>
      <c r="G387" s="54" t="s">
        <v>16</v>
      </c>
      <c r="H387" s="54" t="s">
        <v>42</v>
      </c>
      <c r="I387" s="54" t="s">
        <v>26</v>
      </c>
      <c r="J387" s="77" t="s">
        <v>66</v>
      </c>
    </row>
    <row r="388" spans="1:10" ht="15.75" customHeight="1" x14ac:dyDescent="0.3">
      <c r="A388" s="75" t="s">
        <v>1169</v>
      </c>
      <c r="B388" s="61" t="s">
        <v>202</v>
      </c>
      <c r="C388" s="61" t="s">
        <v>12</v>
      </c>
      <c r="D388" s="62">
        <v>9261764750</v>
      </c>
      <c r="E388" s="61"/>
      <c r="F388" s="96" t="s">
        <v>1572</v>
      </c>
      <c r="G388" s="62" t="s">
        <v>54</v>
      </c>
      <c r="H388" s="62" t="s">
        <v>1619</v>
      </c>
      <c r="I388" s="62" t="s">
        <v>18</v>
      </c>
      <c r="J388" s="80" t="s">
        <v>91</v>
      </c>
    </row>
    <row r="389" spans="1:10" ht="15.75" customHeight="1" x14ac:dyDescent="0.3">
      <c r="A389" s="72" t="s">
        <v>1154</v>
      </c>
      <c r="B389" s="53" t="s">
        <v>227</v>
      </c>
      <c r="C389" s="53" t="s">
        <v>22</v>
      </c>
      <c r="D389" s="54">
        <v>9764921518</v>
      </c>
      <c r="E389" s="53" t="s">
        <v>1172</v>
      </c>
      <c r="F389" s="93" t="s">
        <v>1554</v>
      </c>
      <c r="G389" s="54" t="s">
        <v>16</v>
      </c>
      <c r="H389" s="54" t="s">
        <v>65</v>
      </c>
      <c r="I389" s="54"/>
      <c r="J389" s="77" t="s">
        <v>19</v>
      </c>
    </row>
    <row r="390" spans="1:10" ht="15.75" customHeight="1" x14ac:dyDescent="0.3">
      <c r="A390" s="72" t="s">
        <v>1174</v>
      </c>
      <c r="B390" s="53" t="s">
        <v>202</v>
      </c>
      <c r="C390" s="53" t="s">
        <v>62</v>
      </c>
      <c r="D390" s="54"/>
      <c r="E390" s="53" t="s">
        <v>981</v>
      </c>
      <c r="F390" s="93" t="s">
        <v>1575</v>
      </c>
      <c r="G390" s="54" t="s">
        <v>16</v>
      </c>
      <c r="H390" s="54" t="s">
        <v>17</v>
      </c>
      <c r="I390" s="54" t="s">
        <v>18</v>
      </c>
      <c r="J390" s="77" t="s">
        <v>143</v>
      </c>
    </row>
    <row r="391" spans="1:10" ht="15.75" customHeight="1" x14ac:dyDescent="0.3">
      <c r="A391" s="75" t="s">
        <v>1176</v>
      </c>
      <c r="B391" s="61" t="s">
        <v>206</v>
      </c>
      <c r="C391" s="61" t="s">
        <v>37</v>
      </c>
      <c r="D391" s="62">
        <v>9487297585</v>
      </c>
      <c r="E391" s="61" t="s">
        <v>1178</v>
      </c>
      <c r="F391" s="96" t="s">
        <v>1574</v>
      </c>
      <c r="G391" s="62" t="s">
        <v>54</v>
      </c>
      <c r="H391" s="62" t="s">
        <v>1619</v>
      </c>
      <c r="I391" s="62" t="s">
        <v>26</v>
      </c>
      <c r="J391" s="80" t="s">
        <v>34</v>
      </c>
    </row>
    <row r="392" spans="1:10" ht="15.75" customHeight="1" x14ac:dyDescent="0.3">
      <c r="A392" s="74" t="s">
        <v>1179</v>
      </c>
      <c r="B392" s="59" t="s">
        <v>597</v>
      </c>
      <c r="C392" s="59" t="s">
        <v>22</v>
      </c>
      <c r="D392" s="60">
        <v>9542961844</v>
      </c>
      <c r="E392" s="59"/>
      <c r="F392" s="95" t="s">
        <v>1538</v>
      </c>
      <c r="G392" s="60" t="s">
        <v>48</v>
      </c>
      <c r="H392" s="60" t="s">
        <v>125</v>
      </c>
      <c r="I392" s="60" t="s">
        <v>18</v>
      </c>
      <c r="J392" s="79" t="s">
        <v>19</v>
      </c>
    </row>
    <row r="393" spans="1:10" ht="15.75" customHeight="1" x14ac:dyDescent="0.3">
      <c r="A393" s="72" t="s">
        <v>1181</v>
      </c>
      <c r="B393" s="53" t="s">
        <v>202</v>
      </c>
      <c r="C393" s="53" t="s">
        <v>62</v>
      </c>
      <c r="D393" s="54">
        <v>9598926256</v>
      </c>
      <c r="E393" s="53"/>
      <c r="F393" s="93" t="s">
        <v>1525</v>
      </c>
      <c r="G393" s="54" t="s">
        <v>16</v>
      </c>
      <c r="H393" s="54" t="s">
        <v>65</v>
      </c>
      <c r="I393" s="54" t="s">
        <v>26</v>
      </c>
      <c r="J393" s="77" t="s">
        <v>27</v>
      </c>
    </row>
    <row r="394" spans="1:10" ht="15.75" customHeight="1" x14ac:dyDescent="0.3">
      <c r="A394" s="72" t="s">
        <v>1183</v>
      </c>
      <c r="B394" s="53" t="s">
        <v>206</v>
      </c>
      <c r="C394" s="53" t="s">
        <v>37</v>
      </c>
      <c r="D394" s="54">
        <v>9542340163</v>
      </c>
      <c r="E394" s="53" t="s">
        <v>1185</v>
      </c>
      <c r="F394" s="93" t="s">
        <v>1558</v>
      </c>
      <c r="G394" s="54" t="s">
        <v>16</v>
      </c>
      <c r="H394" s="54" t="s">
        <v>17</v>
      </c>
      <c r="I394" s="54" t="s">
        <v>26</v>
      </c>
      <c r="J394" s="77" t="s">
        <v>34</v>
      </c>
    </row>
    <row r="395" spans="1:10" ht="15.75" customHeight="1" x14ac:dyDescent="0.3">
      <c r="A395" s="76" t="s">
        <v>861</v>
      </c>
      <c r="B395" s="57" t="s">
        <v>227</v>
      </c>
      <c r="C395" s="57"/>
      <c r="D395" s="58">
        <v>9256258896</v>
      </c>
      <c r="E395" s="57" t="s">
        <v>1187</v>
      </c>
      <c r="F395" s="97" t="s">
        <v>1573</v>
      </c>
      <c r="G395" s="58" t="s">
        <v>111</v>
      </c>
      <c r="H395" s="58" t="s">
        <v>72</v>
      </c>
      <c r="I395" s="58" t="s">
        <v>18</v>
      </c>
      <c r="J395" s="81" t="s">
        <v>51</v>
      </c>
    </row>
    <row r="396" spans="1:10" ht="15.75" customHeight="1" x14ac:dyDescent="0.3">
      <c r="A396" s="73" t="s">
        <v>1189</v>
      </c>
      <c r="B396" s="55" t="s">
        <v>597</v>
      </c>
      <c r="C396" s="55" t="s">
        <v>119</v>
      </c>
      <c r="D396" s="56">
        <v>9757844683</v>
      </c>
      <c r="E396" s="55"/>
      <c r="F396" s="94" t="s">
        <v>1527</v>
      </c>
      <c r="G396" s="56" t="s">
        <v>79</v>
      </c>
      <c r="H396" s="56" t="s">
        <v>65</v>
      </c>
      <c r="I396" s="56" t="s">
        <v>18</v>
      </c>
      <c r="J396" s="78" t="s">
        <v>19</v>
      </c>
    </row>
    <row r="397" spans="1:10" ht="15.75" customHeight="1" x14ac:dyDescent="0.3">
      <c r="A397" s="73" t="s">
        <v>1191</v>
      </c>
      <c r="B397" s="55" t="s">
        <v>202</v>
      </c>
      <c r="C397" s="55" t="s">
        <v>37</v>
      </c>
      <c r="D397" s="56"/>
      <c r="E397" s="55" t="s">
        <v>1163</v>
      </c>
      <c r="F397" s="94" t="s">
        <v>1572</v>
      </c>
      <c r="G397" s="56" t="s">
        <v>79</v>
      </c>
      <c r="H397" s="56" t="s">
        <v>49</v>
      </c>
      <c r="I397" s="56" t="s">
        <v>26</v>
      </c>
      <c r="J397" s="78"/>
    </row>
    <row r="398" spans="1:10" ht="15.75" customHeight="1" x14ac:dyDescent="0.3">
      <c r="A398" s="72" t="s">
        <v>1192</v>
      </c>
      <c r="B398" s="53" t="s">
        <v>157</v>
      </c>
      <c r="C398" s="53" t="s">
        <v>62</v>
      </c>
      <c r="D398" s="54">
        <v>9909728321</v>
      </c>
      <c r="E398" s="53" t="s">
        <v>1194</v>
      </c>
      <c r="F398" s="93" t="s">
        <v>1523</v>
      </c>
      <c r="G398" s="54" t="s">
        <v>16</v>
      </c>
      <c r="H398" s="54" t="s">
        <v>65</v>
      </c>
      <c r="I398" s="54" t="s">
        <v>18</v>
      </c>
      <c r="J398" s="77" t="s">
        <v>19</v>
      </c>
    </row>
    <row r="399" spans="1:10" ht="15.75" customHeight="1" x14ac:dyDescent="0.3">
      <c r="A399" s="73" t="s">
        <v>1195</v>
      </c>
      <c r="B399" s="55" t="s">
        <v>202</v>
      </c>
      <c r="C399" s="55" t="s">
        <v>12</v>
      </c>
      <c r="D399" s="56">
        <v>9309634807</v>
      </c>
      <c r="E399" s="55"/>
      <c r="F399" s="94" t="s">
        <v>1551</v>
      </c>
      <c r="G399" s="56" t="s">
        <v>79</v>
      </c>
      <c r="H399" s="56" t="s">
        <v>65</v>
      </c>
      <c r="I399" s="56" t="s">
        <v>18</v>
      </c>
      <c r="J399" s="78" t="s">
        <v>51</v>
      </c>
    </row>
    <row r="400" spans="1:10" ht="15.75" customHeight="1" x14ac:dyDescent="0.3">
      <c r="A400" s="73" t="s">
        <v>1198</v>
      </c>
      <c r="B400" s="55" t="s">
        <v>134</v>
      </c>
      <c r="C400" s="55" t="s">
        <v>37</v>
      </c>
      <c r="D400" s="56">
        <v>9731882617</v>
      </c>
      <c r="E400" s="55" t="s">
        <v>1200</v>
      </c>
      <c r="F400" s="94" t="s">
        <v>1521</v>
      </c>
      <c r="G400" s="56" t="s">
        <v>79</v>
      </c>
      <c r="H400" s="56" t="s">
        <v>42</v>
      </c>
      <c r="I400" s="56" t="s">
        <v>26</v>
      </c>
      <c r="J400" s="78" t="s">
        <v>27</v>
      </c>
    </row>
    <row r="401" spans="1:10" ht="15.75" customHeight="1" x14ac:dyDescent="0.3">
      <c r="A401" s="73" t="s">
        <v>1202</v>
      </c>
      <c r="B401" s="55" t="s">
        <v>227</v>
      </c>
      <c r="C401" s="55" t="s">
        <v>62</v>
      </c>
      <c r="D401" s="56">
        <v>9225605313</v>
      </c>
      <c r="E401" s="55"/>
      <c r="F401" s="94" t="s">
        <v>1571</v>
      </c>
      <c r="G401" s="56" t="s">
        <v>79</v>
      </c>
      <c r="H401" s="56" t="s">
        <v>125</v>
      </c>
      <c r="I401" s="56" t="s">
        <v>26</v>
      </c>
      <c r="J401" s="78" t="s">
        <v>19</v>
      </c>
    </row>
    <row r="402" spans="1:10" ht="15.75" customHeight="1" x14ac:dyDescent="0.3">
      <c r="A402" s="75" t="s">
        <v>1205</v>
      </c>
      <c r="B402" s="61" t="s">
        <v>29</v>
      </c>
      <c r="C402" s="61"/>
      <c r="D402" s="62">
        <v>9872568621</v>
      </c>
      <c r="E402" s="61"/>
      <c r="F402" s="96" t="s">
        <v>1570</v>
      </c>
      <c r="G402" s="62" t="s">
        <v>54</v>
      </c>
      <c r="H402" s="62" t="s">
        <v>1619</v>
      </c>
      <c r="I402" s="62"/>
      <c r="J402" s="80" t="s">
        <v>51</v>
      </c>
    </row>
    <row r="403" spans="1:10" ht="15.75" customHeight="1" x14ac:dyDescent="0.3">
      <c r="A403" s="72" t="s">
        <v>770</v>
      </c>
      <c r="B403" s="53" t="s">
        <v>206</v>
      </c>
      <c r="C403" s="53" t="s">
        <v>119</v>
      </c>
      <c r="D403" s="54">
        <v>9447163928</v>
      </c>
      <c r="E403" s="53" t="s">
        <v>1208</v>
      </c>
      <c r="F403" s="93" t="s">
        <v>1559</v>
      </c>
      <c r="G403" s="54" t="s">
        <v>16</v>
      </c>
      <c r="H403" s="54" t="s">
        <v>65</v>
      </c>
      <c r="I403" s="54" t="s">
        <v>26</v>
      </c>
      <c r="J403" s="77" t="s">
        <v>27</v>
      </c>
    </row>
    <row r="404" spans="1:10" ht="15.75" customHeight="1" x14ac:dyDescent="0.3">
      <c r="A404" s="72" t="s">
        <v>1210</v>
      </c>
      <c r="B404" s="53" t="s">
        <v>275</v>
      </c>
      <c r="C404" s="53" t="s">
        <v>45</v>
      </c>
      <c r="D404" s="54">
        <v>9312604326</v>
      </c>
      <c r="E404" s="53"/>
      <c r="F404" s="93" t="s">
        <v>1561</v>
      </c>
      <c r="G404" s="54" t="s">
        <v>16</v>
      </c>
      <c r="H404" s="54" t="s">
        <v>25</v>
      </c>
      <c r="I404" s="54" t="s">
        <v>26</v>
      </c>
      <c r="J404" s="77" t="s">
        <v>51</v>
      </c>
    </row>
    <row r="405" spans="1:10" ht="15.75" customHeight="1" x14ac:dyDescent="0.3">
      <c r="A405" s="73" t="s">
        <v>1213</v>
      </c>
      <c r="B405" s="55" t="s">
        <v>206</v>
      </c>
      <c r="C405" s="55"/>
      <c r="D405" s="56">
        <v>9041454563</v>
      </c>
      <c r="E405" s="55"/>
      <c r="F405" s="94" t="s">
        <v>1551</v>
      </c>
      <c r="G405" s="56" t="s">
        <v>79</v>
      </c>
      <c r="H405" s="56" t="s">
        <v>83</v>
      </c>
      <c r="I405" s="56" t="s">
        <v>18</v>
      </c>
      <c r="J405" s="78" t="s">
        <v>106</v>
      </c>
    </row>
    <row r="406" spans="1:10" ht="15.75" customHeight="1" x14ac:dyDescent="0.3">
      <c r="A406" s="75" t="s">
        <v>1216</v>
      </c>
      <c r="B406" s="61" t="s">
        <v>11</v>
      </c>
      <c r="C406" s="61" t="s">
        <v>119</v>
      </c>
      <c r="D406" s="62"/>
      <c r="E406" s="61" t="s">
        <v>1217</v>
      </c>
      <c r="F406" s="96" t="s">
        <v>1569</v>
      </c>
      <c r="G406" s="62" t="s">
        <v>54</v>
      </c>
      <c r="H406" s="62" t="s">
        <v>25</v>
      </c>
      <c r="I406" s="62" t="s">
        <v>18</v>
      </c>
      <c r="J406" s="80"/>
    </row>
    <row r="407" spans="1:10" ht="15.75" customHeight="1" x14ac:dyDescent="0.3">
      <c r="A407" s="73" t="s">
        <v>1218</v>
      </c>
      <c r="B407" s="55" t="s">
        <v>202</v>
      </c>
      <c r="C407" s="55" t="s">
        <v>62</v>
      </c>
      <c r="D407" s="56">
        <v>9109337118</v>
      </c>
      <c r="E407" s="55" t="s">
        <v>1220</v>
      </c>
      <c r="F407" s="94" t="s">
        <v>1568</v>
      </c>
      <c r="G407" s="56" t="s">
        <v>79</v>
      </c>
      <c r="H407" s="56" t="s">
        <v>42</v>
      </c>
      <c r="I407" s="56" t="s">
        <v>18</v>
      </c>
      <c r="J407" s="78" t="s">
        <v>34</v>
      </c>
    </row>
    <row r="408" spans="1:10" ht="15.75" customHeight="1" x14ac:dyDescent="0.3">
      <c r="A408" s="75" t="s">
        <v>1221</v>
      </c>
      <c r="B408" s="61" t="s">
        <v>157</v>
      </c>
      <c r="C408" s="61" t="s">
        <v>62</v>
      </c>
      <c r="D408" s="62">
        <v>9617688029</v>
      </c>
      <c r="E408" s="61"/>
      <c r="F408" s="96" t="s">
        <v>1563</v>
      </c>
      <c r="G408" s="62" t="s">
        <v>54</v>
      </c>
      <c r="H408" s="62" t="s">
        <v>42</v>
      </c>
      <c r="I408" s="62" t="s">
        <v>26</v>
      </c>
      <c r="J408" s="80" t="s">
        <v>27</v>
      </c>
    </row>
    <row r="409" spans="1:10" ht="15.75" customHeight="1" x14ac:dyDescent="0.3">
      <c r="A409" s="74" t="s">
        <v>1223</v>
      </c>
      <c r="B409" s="59" t="s">
        <v>202</v>
      </c>
      <c r="C409" s="59" t="s">
        <v>45</v>
      </c>
      <c r="D409" s="60">
        <v>9866943202</v>
      </c>
      <c r="E409" s="59" t="s">
        <v>1225</v>
      </c>
      <c r="F409" s="95" t="s">
        <v>1538</v>
      </c>
      <c r="G409" s="60" t="s">
        <v>48</v>
      </c>
      <c r="H409" s="60" t="s">
        <v>72</v>
      </c>
      <c r="I409" s="60" t="s">
        <v>26</v>
      </c>
      <c r="J409" s="79" t="s">
        <v>34</v>
      </c>
    </row>
    <row r="410" spans="1:10" ht="15.75" customHeight="1" x14ac:dyDescent="0.3">
      <c r="A410" s="73" t="s">
        <v>1226</v>
      </c>
      <c r="B410" s="55" t="s">
        <v>202</v>
      </c>
      <c r="C410" s="55" t="s">
        <v>45</v>
      </c>
      <c r="D410" s="56">
        <v>9402424033</v>
      </c>
      <c r="E410" s="55"/>
      <c r="F410" s="94" t="s">
        <v>1530</v>
      </c>
      <c r="G410" s="56" t="s">
        <v>79</v>
      </c>
      <c r="H410" s="56" t="s">
        <v>72</v>
      </c>
      <c r="I410" s="56" t="s">
        <v>26</v>
      </c>
      <c r="J410" s="78" t="s">
        <v>143</v>
      </c>
    </row>
    <row r="411" spans="1:10" ht="15.75" customHeight="1" x14ac:dyDescent="0.3">
      <c r="A411" s="72" t="s">
        <v>1229</v>
      </c>
      <c r="B411" s="53" t="s">
        <v>206</v>
      </c>
      <c r="C411" s="53" t="s">
        <v>37</v>
      </c>
      <c r="D411" s="54"/>
      <c r="E411" s="53" t="s">
        <v>1230</v>
      </c>
      <c r="F411" s="93" t="s">
        <v>1542</v>
      </c>
      <c r="G411" s="54" t="s">
        <v>16</v>
      </c>
      <c r="H411" s="54" t="s">
        <v>72</v>
      </c>
      <c r="I411" s="54" t="s">
        <v>26</v>
      </c>
      <c r="J411" s="77"/>
    </row>
    <row r="412" spans="1:10" ht="15.75" customHeight="1" x14ac:dyDescent="0.3">
      <c r="A412" s="73" t="s">
        <v>1232</v>
      </c>
      <c r="B412" s="55" t="s">
        <v>134</v>
      </c>
      <c r="C412" s="55" t="s">
        <v>62</v>
      </c>
      <c r="D412" s="56">
        <v>9527172722</v>
      </c>
      <c r="E412" s="55" t="s">
        <v>488</v>
      </c>
      <c r="F412" s="94" t="s">
        <v>1567</v>
      </c>
      <c r="G412" s="56" t="s">
        <v>79</v>
      </c>
      <c r="H412" s="56" t="s">
        <v>125</v>
      </c>
      <c r="I412" s="56"/>
      <c r="J412" s="78"/>
    </row>
    <row r="413" spans="1:10" ht="15.75" customHeight="1" x14ac:dyDescent="0.3">
      <c r="A413" s="76" t="s">
        <v>1234</v>
      </c>
      <c r="B413" s="57" t="s">
        <v>597</v>
      </c>
      <c r="C413" s="57" t="s">
        <v>119</v>
      </c>
      <c r="D413" s="58">
        <v>9761820916</v>
      </c>
      <c r="E413" s="57"/>
      <c r="F413" s="97" t="s">
        <v>1545</v>
      </c>
      <c r="G413" s="58" t="s">
        <v>111</v>
      </c>
      <c r="H413" s="58" t="s">
        <v>65</v>
      </c>
      <c r="I413" s="58" t="s">
        <v>18</v>
      </c>
      <c r="J413" s="81" t="s">
        <v>143</v>
      </c>
    </row>
    <row r="414" spans="1:10" ht="15.75" customHeight="1" x14ac:dyDescent="0.3">
      <c r="A414" s="72" t="s">
        <v>1237</v>
      </c>
      <c r="B414" s="53" t="s">
        <v>193</v>
      </c>
      <c r="C414" s="53" t="s">
        <v>37</v>
      </c>
      <c r="D414" s="54">
        <v>9513279724</v>
      </c>
      <c r="E414" s="53" t="s">
        <v>1239</v>
      </c>
      <c r="F414" s="93" t="s">
        <v>1546</v>
      </c>
      <c r="G414" s="54" t="s">
        <v>16</v>
      </c>
      <c r="H414" s="54" t="s">
        <v>1619</v>
      </c>
      <c r="I414" s="54" t="s">
        <v>18</v>
      </c>
      <c r="J414" s="77" t="s">
        <v>106</v>
      </c>
    </row>
    <row r="415" spans="1:10" ht="15.75" customHeight="1" x14ac:dyDescent="0.3">
      <c r="A415" s="72" t="s">
        <v>1241</v>
      </c>
      <c r="B415" s="53" t="s">
        <v>227</v>
      </c>
      <c r="C415" s="53"/>
      <c r="D415" s="54"/>
      <c r="E415" s="53" t="s">
        <v>1187</v>
      </c>
      <c r="F415" s="93" t="s">
        <v>1566</v>
      </c>
      <c r="G415" s="54" t="s">
        <v>16</v>
      </c>
      <c r="H415" s="54" t="s">
        <v>65</v>
      </c>
      <c r="I415" s="54" t="s">
        <v>26</v>
      </c>
      <c r="J415" s="77" t="s">
        <v>106</v>
      </c>
    </row>
    <row r="416" spans="1:10" ht="15.75" customHeight="1" x14ac:dyDescent="0.3">
      <c r="A416" s="74" t="s">
        <v>1242</v>
      </c>
      <c r="B416" s="59" t="s">
        <v>227</v>
      </c>
      <c r="C416" s="59"/>
      <c r="D416" s="60">
        <v>9151092268</v>
      </c>
      <c r="E416" s="59" t="s">
        <v>1244</v>
      </c>
      <c r="F416" s="95" t="s">
        <v>1560</v>
      </c>
      <c r="G416" s="60" t="s">
        <v>48</v>
      </c>
      <c r="H416" s="60" t="s">
        <v>65</v>
      </c>
      <c r="I416" s="60" t="s">
        <v>18</v>
      </c>
      <c r="J416" s="79" t="s">
        <v>91</v>
      </c>
    </row>
    <row r="417" spans="1:10" ht="15.75" customHeight="1" x14ac:dyDescent="0.3">
      <c r="A417" s="73" t="s">
        <v>1245</v>
      </c>
      <c r="B417" s="55" t="s">
        <v>157</v>
      </c>
      <c r="C417" s="55" t="s">
        <v>62</v>
      </c>
      <c r="D417" s="56">
        <v>9022526771</v>
      </c>
      <c r="E417" s="55" t="s">
        <v>846</v>
      </c>
      <c r="F417" s="94" t="s">
        <v>1516</v>
      </c>
      <c r="G417" s="56" t="s">
        <v>79</v>
      </c>
      <c r="H417" s="56" t="s">
        <v>125</v>
      </c>
      <c r="I417" s="56"/>
      <c r="J417" s="78"/>
    </row>
    <row r="418" spans="1:10" ht="15.75" customHeight="1" x14ac:dyDescent="0.3">
      <c r="A418" s="72" t="s">
        <v>1247</v>
      </c>
      <c r="B418" s="53" t="s">
        <v>157</v>
      </c>
      <c r="C418" s="53" t="s">
        <v>119</v>
      </c>
      <c r="D418" s="54">
        <v>9952366878</v>
      </c>
      <c r="E418" s="53" t="s">
        <v>1249</v>
      </c>
      <c r="F418" s="93" t="s">
        <v>1566</v>
      </c>
      <c r="G418" s="54" t="s">
        <v>16</v>
      </c>
      <c r="H418" s="54" t="s">
        <v>25</v>
      </c>
      <c r="I418" s="54" t="s">
        <v>26</v>
      </c>
      <c r="J418" s="77" t="s">
        <v>106</v>
      </c>
    </row>
    <row r="419" spans="1:10" ht="15.75" customHeight="1" x14ac:dyDescent="0.3">
      <c r="A419" s="75" t="s">
        <v>1250</v>
      </c>
      <c r="B419" s="61" t="s">
        <v>597</v>
      </c>
      <c r="C419" s="61"/>
      <c r="D419" s="62">
        <v>9587210552</v>
      </c>
      <c r="E419" s="61" t="s">
        <v>1252</v>
      </c>
      <c r="F419" s="96" t="s">
        <v>1520</v>
      </c>
      <c r="G419" s="62" t="s">
        <v>54</v>
      </c>
      <c r="H419" s="62" t="s">
        <v>49</v>
      </c>
      <c r="I419" s="62" t="s">
        <v>26</v>
      </c>
      <c r="J419" s="80" t="s">
        <v>143</v>
      </c>
    </row>
    <row r="420" spans="1:10" ht="15.75" customHeight="1" x14ac:dyDescent="0.3">
      <c r="A420" s="72" t="s">
        <v>1253</v>
      </c>
      <c r="B420" s="53" t="s">
        <v>202</v>
      </c>
      <c r="C420" s="53" t="s">
        <v>37</v>
      </c>
      <c r="D420" s="54">
        <v>9501917920</v>
      </c>
      <c r="E420" s="53"/>
      <c r="F420" s="93" t="s">
        <v>1535</v>
      </c>
      <c r="G420" s="54" t="s">
        <v>16</v>
      </c>
      <c r="H420" s="54" t="s">
        <v>125</v>
      </c>
      <c r="I420" s="54" t="s">
        <v>26</v>
      </c>
      <c r="J420" s="77" t="s">
        <v>143</v>
      </c>
    </row>
    <row r="421" spans="1:10" ht="15.75" customHeight="1" x14ac:dyDescent="0.3">
      <c r="A421" s="74" t="s">
        <v>1256</v>
      </c>
      <c r="B421" s="59" t="s">
        <v>227</v>
      </c>
      <c r="C421" s="59" t="s">
        <v>12</v>
      </c>
      <c r="D421" s="60">
        <v>9041200928</v>
      </c>
      <c r="E421" s="59"/>
      <c r="F421" s="95" t="s">
        <v>1523</v>
      </c>
      <c r="G421" s="60" t="s">
        <v>48</v>
      </c>
      <c r="H421" s="60" t="s">
        <v>72</v>
      </c>
      <c r="I421" s="60" t="s">
        <v>26</v>
      </c>
      <c r="J421" s="79" t="s">
        <v>19</v>
      </c>
    </row>
    <row r="422" spans="1:10" ht="15.75" customHeight="1" x14ac:dyDescent="0.3">
      <c r="A422" s="72" t="s">
        <v>1258</v>
      </c>
      <c r="B422" s="53" t="s">
        <v>11</v>
      </c>
      <c r="C422" s="53" t="s">
        <v>37</v>
      </c>
      <c r="D422" s="54"/>
      <c r="E422" s="53" t="s">
        <v>1259</v>
      </c>
      <c r="F422" s="93" t="s">
        <v>1546</v>
      </c>
      <c r="G422" s="54" t="s">
        <v>16</v>
      </c>
      <c r="H422" s="54" t="s">
        <v>42</v>
      </c>
      <c r="I422" s="54"/>
      <c r="J422" s="77"/>
    </row>
    <row r="423" spans="1:10" ht="15.75" customHeight="1" x14ac:dyDescent="0.3">
      <c r="A423" s="74" t="s">
        <v>1261</v>
      </c>
      <c r="B423" s="59" t="s">
        <v>134</v>
      </c>
      <c r="C423" s="59" t="s">
        <v>62</v>
      </c>
      <c r="D423" s="60">
        <v>9341115950</v>
      </c>
      <c r="E423" s="59" t="s">
        <v>762</v>
      </c>
      <c r="F423" s="95" t="s">
        <v>1522</v>
      </c>
      <c r="G423" s="60" t="s">
        <v>48</v>
      </c>
      <c r="H423" s="60" t="s">
        <v>25</v>
      </c>
      <c r="I423" s="60" t="s">
        <v>26</v>
      </c>
      <c r="J423" s="79" t="s">
        <v>66</v>
      </c>
    </row>
    <row r="424" spans="1:10" ht="15.75" customHeight="1" x14ac:dyDescent="0.3">
      <c r="A424" s="73" t="s">
        <v>1264</v>
      </c>
      <c r="B424" s="55" t="s">
        <v>597</v>
      </c>
      <c r="C424" s="55"/>
      <c r="D424" s="56">
        <v>9909700514</v>
      </c>
      <c r="E424" s="55" t="s">
        <v>1266</v>
      </c>
      <c r="F424" s="94" t="s">
        <v>1565</v>
      </c>
      <c r="G424" s="56" t="s">
        <v>79</v>
      </c>
      <c r="H424" s="56" t="s">
        <v>17</v>
      </c>
      <c r="I424" s="56" t="s">
        <v>26</v>
      </c>
      <c r="J424" s="78" t="s">
        <v>106</v>
      </c>
    </row>
    <row r="425" spans="1:10" ht="15.75" customHeight="1" x14ac:dyDescent="0.3">
      <c r="A425" s="75" t="s">
        <v>919</v>
      </c>
      <c r="B425" s="61" t="s">
        <v>157</v>
      </c>
      <c r="C425" s="61" t="s">
        <v>45</v>
      </c>
      <c r="D425" s="62">
        <v>9820967904</v>
      </c>
      <c r="E425" s="61" t="s">
        <v>63</v>
      </c>
      <c r="F425" s="96" t="s">
        <v>1564</v>
      </c>
      <c r="G425" s="62" t="s">
        <v>54</v>
      </c>
      <c r="H425" s="62" t="s">
        <v>125</v>
      </c>
      <c r="I425" s="62"/>
      <c r="J425" s="80" t="s">
        <v>143</v>
      </c>
    </row>
    <row r="426" spans="1:10" ht="15.75" customHeight="1" x14ac:dyDescent="0.3">
      <c r="A426" s="76" t="s">
        <v>1268</v>
      </c>
      <c r="B426" s="57" t="s">
        <v>157</v>
      </c>
      <c r="C426" s="57" t="s">
        <v>12</v>
      </c>
      <c r="D426" s="58">
        <v>9596063399</v>
      </c>
      <c r="E426" s="57" t="s">
        <v>1270</v>
      </c>
      <c r="F426" s="97" t="s">
        <v>1539</v>
      </c>
      <c r="G426" s="58" t="s">
        <v>111</v>
      </c>
      <c r="H426" s="58" t="s">
        <v>72</v>
      </c>
      <c r="I426" s="58" t="s">
        <v>18</v>
      </c>
      <c r="J426" s="81" t="s">
        <v>106</v>
      </c>
    </row>
    <row r="427" spans="1:10" ht="15.75" customHeight="1" x14ac:dyDescent="0.3">
      <c r="A427" s="76" t="s">
        <v>1272</v>
      </c>
      <c r="B427" s="57" t="s">
        <v>29</v>
      </c>
      <c r="C427" s="57" t="s">
        <v>22</v>
      </c>
      <c r="D427" s="58"/>
      <c r="E427" s="57" t="s">
        <v>512</v>
      </c>
      <c r="F427" s="97" t="s">
        <v>1542</v>
      </c>
      <c r="G427" s="58" t="s">
        <v>111</v>
      </c>
      <c r="H427" s="58" t="s">
        <v>83</v>
      </c>
      <c r="I427" s="58" t="s">
        <v>18</v>
      </c>
      <c r="J427" s="81" t="s">
        <v>51</v>
      </c>
    </row>
    <row r="428" spans="1:10" ht="15.75" customHeight="1" x14ac:dyDescent="0.3">
      <c r="A428" s="75" t="s">
        <v>1273</v>
      </c>
      <c r="B428" s="61" t="s">
        <v>227</v>
      </c>
      <c r="C428" s="61" t="s">
        <v>45</v>
      </c>
      <c r="D428" s="62">
        <v>9758955168</v>
      </c>
      <c r="E428" s="61" t="s">
        <v>1187</v>
      </c>
      <c r="F428" s="96" t="s">
        <v>1563</v>
      </c>
      <c r="G428" s="62" t="s">
        <v>54</v>
      </c>
      <c r="H428" s="62" t="s">
        <v>49</v>
      </c>
      <c r="I428" s="62" t="s">
        <v>26</v>
      </c>
      <c r="J428" s="80" t="s">
        <v>106</v>
      </c>
    </row>
    <row r="429" spans="1:10" ht="15.75" customHeight="1" x14ac:dyDescent="0.3">
      <c r="A429" s="72" t="s">
        <v>1275</v>
      </c>
      <c r="B429" s="53" t="s">
        <v>227</v>
      </c>
      <c r="C429" s="53" t="s">
        <v>119</v>
      </c>
      <c r="D429" s="54">
        <v>9367157787</v>
      </c>
      <c r="E429" s="53"/>
      <c r="F429" s="93" t="s">
        <v>1562</v>
      </c>
      <c r="G429" s="54" t="s">
        <v>16</v>
      </c>
      <c r="H429" s="54" t="s">
        <v>17</v>
      </c>
      <c r="I429" s="54" t="s">
        <v>18</v>
      </c>
      <c r="J429" s="77" t="s">
        <v>51</v>
      </c>
    </row>
    <row r="430" spans="1:10" ht="15.75" customHeight="1" x14ac:dyDescent="0.3">
      <c r="A430" s="72" t="s">
        <v>1277</v>
      </c>
      <c r="B430" s="53" t="s">
        <v>157</v>
      </c>
      <c r="C430" s="53" t="s">
        <v>62</v>
      </c>
      <c r="D430" s="54">
        <v>9147082723</v>
      </c>
      <c r="E430" s="53" t="s">
        <v>1279</v>
      </c>
      <c r="F430" s="93" t="s">
        <v>1510</v>
      </c>
      <c r="G430" s="54" t="s">
        <v>16</v>
      </c>
      <c r="H430" s="54" t="s">
        <v>25</v>
      </c>
      <c r="I430" s="54" t="s">
        <v>18</v>
      </c>
      <c r="J430" s="77" t="s">
        <v>19</v>
      </c>
    </row>
    <row r="431" spans="1:10" ht="15.75" customHeight="1" x14ac:dyDescent="0.3">
      <c r="A431" s="72" t="s">
        <v>1281</v>
      </c>
      <c r="B431" s="53" t="s">
        <v>193</v>
      </c>
      <c r="C431" s="53" t="s">
        <v>12</v>
      </c>
      <c r="D431" s="54">
        <v>9121461476</v>
      </c>
      <c r="E431" s="53" t="s">
        <v>404</v>
      </c>
      <c r="F431" s="93" t="s">
        <v>1561</v>
      </c>
      <c r="G431" s="54" t="s">
        <v>16</v>
      </c>
      <c r="H431" s="54" t="s">
        <v>72</v>
      </c>
      <c r="I431" s="54" t="s">
        <v>26</v>
      </c>
      <c r="J431" s="77" t="s">
        <v>19</v>
      </c>
    </row>
    <row r="432" spans="1:10" ht="15.75" customHeight="1" x14ac:dyDescent="0.3">
      <c r="A432" s="73" t="s">
        <v>1283</v>
      </c>
      <c r="B432" s="55" t="s">
        <v>157</v>
      </c>
      <c r="C432" s="55" t="s">
        <v>45</v>
      </c>
      <c r="D432" s="56"/>
      <c r="E432" s="55" t="s">
        <v>376</v>
      </c>
      <c r="F432" s="94" t="s">
        <v>1560</v>
      </c>
      <c r="G432" s="56" t="s">
        <v>79</v>
      </c>
      <c r="H432" s="56" t="s">
        <v>83</v>
      </c>
      <c r="I432" s="56" t="s">
        <v>26</v>
      </c>
      <c r="J432" s="78" t="s">
        <v>91</v>
      </c>
    </row>
    <row r="433" spans="1:10" ht="15.75" customHeight="1" x14ac:dyDescent="0.3">
      <c r="A433" s="72" t="s">
        <v>1284</v>
      </c>
      <c r="B433" s="53" t="s">
        <v>157</v>
      </c>
      <c r="C433" s="53" t="s">
        <v>62</v>
      </c>
      <c r="D433" s="54">
        <v>9480727910</v>
      </c>
      <c r="E433" s="53"/>
      <c r="F433" s="93" t="s">
        <v>1559</v>
      </c>
      <c r="G433" s="54" t="s">
        <v>16</v>
      </c>
      <c r="H433" s="54" t="s">
        <v>25</v>
      </c>
      <c r="I433" s="54" t="s">
        <v>26</v>
      </c>
      <c r="J433" s="77" t="s">
        <v>66</v>
      </c>
    </row>
    <row r="434" spans="1:10" ht="15.75" customHeight="1" x14ac:dyDescent="0.3">
      <c r="A434" s="72" t="s">
        <v>1286</v>
      </c>
      <c r="B434" s="53" t="s">
        <v>157</v>
      </c>
      <c r="C434" s="53"/>
      <c r="D434" s="54">
        <v>9817766558</v>
      </c>
      <c r="E434" s="53" t="s">
        <v>1288</v>
      </c>
      <c r="F434" s="93" t="s">
        <v>1558</v>
      </c>
      <c r="G434" s="54" t="s">
        <v>16</v>
      </c>
      <c r="H434" s="54" t="s">
        <v>125</v>
      </c>
      <c r="I434" s="54" t="s">
        <v>18</v>
      </c>
      <c r="J434" s="77"/>
    </row>
    <row r="435" spans="1:10" ht="15.75" customHeight="1" x14ac:dyDescent="0.3">
      <c r="A435" s="73" t="s">
        <v>1290</v>
      </c>
      <c r="B435" s="55" t="s">
        <v>206</v>
      </c>
      <c r="C435" s="55" t="s">
        <v>62</v>
      </c>
      <c r="D435" s="56">
        <v>9491111096</v>
      </c>
      <c r="E435" s="55" t="s">
        <v>1292</v>
      </c>
      <c r="F435" s="94" t="s">
        <v>1539</v>
      </c>
      <c r="G435" s="56" t="s">
        <v>79</v>
      </c>
      <c r="H435" s="56" t="s">
        <v>42</v>
      </c>
      <c r="I435" s="56" t="s">
        <v>26</v>
      </c>
      <c r="J435" s="78" t="s">
        <v>19</v>
      </c>
    </row>
    <row r="436" spans="1:10" ht="15.75" customHeight="1" x14ac:dyDescent="0.3">
      <c r="A436" s="73" t="s">
        <v>787</v>
      </c>
      <c r="B436" s="55" t="s">
        <v>29</v>
      </c>
      <c r="C436" s="55"/>
      <c r="D436" s="56">
        <v>9157660538</v>
      </c>
      <c r="E436" s="55" t="s">
        <v>1295</v>
      </c>
      <c r="F436" s="94" t="s">
        <v>1520</v>
      </c>
      <c r="G436" s="56" t="s">
        <v>79</v>
      </c>
      <c r="H436" s="56" t="s">
        <v>42</v>
      </c>
      <c r="I436" s="56" t="s">
        <v>18</v>
      </c>
      <c r="J436" s="78" t="s">
        <v>66</v>
      </c>
    </row>
    <row r="437" spans="1:10" ht="15.75" customHeight="1" x14ac:dyDescent="0.3">
      <c r="A437" s="76" t="s">
        <v>1296</v>
      </c>
      <c r="B437" s="57" t="s">
        <v>193</v>
      </c>
      <c r="C437" s="57"/>
      <c r="D437" s="58">
        <v>9955296386</v>
      </c>
      <c r="E437" s="57" t="s">
        <v>1298</v>
      </c>
      <c r="F437" s="97" t="s">
        <v>1557</v>
      </c>
      <c r="G437" s="58" t="s">
        <v>111</v>
      </c>
      <c r="H437" s="58" t="s">
        <v>42</v>
      </c>
      <c r="I437" s="58" t="s">
        <v>26</v>
      </c>
      <c r="J437" s="81" t="s">
        <v>143</v>
      </c>
    </row>
    <row r="438" spans="1:10" ht="15.75" customHeight="1" x14ac:dyDescent="0.3">
      <c r="A438" s="76" t="s">
        <v>1300</v>
      </c>
      <c r="B438" s="57" t="s">
        <v>206</v>
      </c>
      <c r="C438" s="57" t="s">
        <v>119</v>
      </c>
      <c r="D438" s="58">
        <v>9128196482</v>
      </c>
      <c r="E438" s="57"/>
      <c r="F438" s="97" t="s">
        <v>1556</v>
      </c>
      <c r="G438" s="58" t="s">
        <v>111</v>
      </c>
      <c r="H438" s="58" t="s">
        <v>1619</v>
      </c>
      <c r="I438" s="58" t="s">
        <v>26</v>
      </c>
      <c r="J438" s="81" t="s">
        <v>27</v>
      </c>
    </row>
    <row r="439" spans="1:10" ht="15.75" customHeight="1" x14ac:dyDescent="0.3">
      <c r="A439" s="74" t="s">
        <v>1302</v>
      </c>
      <c r="B439" s="59" t="s">
        <v>202</v>
      </c>
      <c r="C439" s="59" t="s">
        <v>62</v>
      </c>
      <c r="D439" s="60"/>
      <c r="E439" s="59" t="s">
        <v>828</v>
      </c>
      <c r="F439" s="95" t="s">
        <v>1524</v>
      </c>
      <c r="G439" s="60" t="s">
        <v>48</v>
      </c>
      <c r="H439" s="60" t="s">
        <v>125</v>
      </c>
      <c r="I439" s="60" t="s">
        <v>26</v>
      </c>
      <c r="J439" s="79" t="s">
        <v>66</v>
      </c>
    </row>
    <row r="440" spans="1:10" ht="15.75" customHeight="1" x14ac:dyDescent="0.3">
      <c r="A440" s="72" t="s">
        <v>1303</v>
      </c>
      <c r="B440" s="53" t="s">
        <v>202</v>
      </c>
      <c r="C440" s="53" t="s">
        <v>45</v>
      </c>
      <c r="D440" s="54"/>
      <c r="E440" s="53"/>
      <c r="F440" s="93" t="s">
        <v>1528</v>
      </c>
      <c r="G440" s="54" t="s">
        <v>16</v>
      </c>
      <c r="H440" s="54" t="s">
        <v>65</v>
      </c>
      <c r="I440" s="54" t="s">
        <v>26</v>
      </c>
      <c r="J440" s="77"/>
    </row>
    <row r="441" spans="1:10" ht="15.75" customHeight="1" x14ac:dyDescent="0.3">
      <c r="A441" s="74" t="s">
        <v>1304</v>
      </c>
      <c r="B441" s="59" t="s">
        <v>206</v>
      </c>
      <c r="C441" s="59" t="s">
        <v>119</v>
      </c>
      <c r="D441" s="60">
        <v>9240299015</v>
      </c>
      <c r="E441" s="59" t="s">
        <v>1292</v>
      </c>
      <c r="F441" s="95" t="s">
        <v>1551</v>
      </c>
      <c r="G441" s="60" t="s">
        <v>48</v>
      </c>
      <c r="H441" s="60" t="s">
        <v>25</v>
      </c>
      <c r="I441" s="60" t="s">
        <v>18</v>
      </c>
      <c r="J441" s="79" t="s">
        <v>66</v>
      </c>
    </row>
    <row r="442" spans="1:10" ht="15.75" customHeight="1" x14ac:dyDescent="0.3">
      <c r="A442" s="74" t="s">
        <v>1307</v>
      </c>
      <c r="B442" s="59" t="s">
        <v>193</v>
      </c>
      <c r="C442" s="59" t="s">
        <v>22</v>
      </c>
      <c r="D442" s="60">
        <v>9513052312</v>
      </c>
      <c r="E442" s="59"/>
      <c r="F442" s="95" t="s">
        <v>1534</v>
      </c>
      <c r="G442" s="60" t="s">
        <v>48</v>
      </c>
      <c r="H442" s="60" t="s">
        <v>83</v>
      </c>
      <c r="I442" s="60" t="s">
        <v>26</v>
      </c>
      <c r="J442" s="79" t="s">
        <v>27</v>
      </c>
    </row>
    <row r="443" spans="1:10" ht="15.75" customHeight="1" x14ac:dyDescent="0.3">
      <c r="A443" s="72" t="s">
        <v>1310</v>
      </c>
      <c r="B443" s="53" t="s">
        <v>11</v>
      </c>
      <c r="C443" s="53" t="s">
        <v>22</v>
      </c>
      <c r="D443" s="54">
        <v>9619942376</v>
      </c>
      <c r="E443" s="53" t="s">
        <v>1312</v>
      </c>
      <c r="F443" s="93" t="s">
        <v>1549</v>
      </c>
      <c r="G443" s="54" t="s">
        <v>16</v>
      </c>
      <c r="H443" s="54" t="s">
        <v>17</v>
      </c>
      <c r="I443" s="54" t="s">
        <v>18</v>
      </c>
      <c r="J443" s="77" t="s">
        <v>106</v>
      </c>
    </row>
    <row r="444" spans="1:10" ht="15.75" customHeight="1" x14ac:dyDescent="0.3">
      <c r="A444" s="72" t="s">
        <v>591</v>
      </c>
      <c r="B444" s="53" t="s">
        <v>36</v>
      </c>
      <c r="C444" s="53" t="s">
        <v>45</v>
      </c>
      <c r="D444" s="54">
        <v>9964985601</v>
      </c>
      <c r="E444" s="53" t="s">
        <v>1314</v>
      </c>
      <c r="F444" s="93" t="s">
        <v>1555</v>
      </c>
      <c r="G444" s="54" t="s">
        <v>16</v>
      </c>
      <c r="H444" s="54" t="s">
        <v>17</v>
      </c>
      <c r="I444" s="54" t="s">
        <v>18</v>
      </c>
      <c r="J444" s="77" t="s">
        <v>143</v>
      </c>
    </row>
    <row r="445" spans="1:10" ht="15.75" customHeight="1" x14ac:dyDescent="0.3">
      <c r="A445" s="72" t="s">
        <v>1316</v>
      </c>
      <c r="B445" s="53" t="s">
        <v>157</v>
      </c>
      <c r="C445" s="53"/>
      <c r="D445" s="54">
        <v>9537953816</v>
      </c>
      <c r="E445" s="53" t="s">
        <v>1318</v>
      </c>
      <c r="F445" s="93" t="s">
        <v>1554</v>
      </c>
      <c r="G445" s="54" t="s">
        <v>16</v>
      </c>
      <c r="H445" s="54" t="s">
        <v>42</v>
      </c>
      <c r="I445" s="54" t="s">
        <v>26</v>
      </c>
      <c r="J445" s="77"/>
    </row>
    <row r="446" spans="1:10" ht="15.75" customHeight="1" x14ac:dyDescent="0.3">
      <c r="A446" s="73" t="s">
        <v>1319</v>
      </c>
      <c r="B446" s="55" t="s">
        <v>157</v>
      </c>
      <c r="C446" s="55" t="s">
        <v>37</v>
      </c>
      <c r="D446" s="56">
        <v>9704611729</v>
      </c>
      <c r="E446" s="55" t="s">
        <v>1321</v>
      </c>
      <c r="F446" s="94" t="s">
        <v>1553</v>
      </c>
      <c r="G446" s="56" t="s">
        <v>79</v>
      </c>
      <c r="H446" s="56" t="s">
        <v>72</v>
      </c>
      <c r="I446" s="56" t="s">
        <v>26</v>
      </c>
      <c r="J446" s="78"/>
    </row>
    <row r="447" spans="1:10" ht="15.75" customHeight="1" x14ac:dyDescent="0.3">
      <c r="A447" s="73" t="s">
        <v>1323</v>
      </c>
      <c r="B447" s="55" t="s">
        <v>193</v>
      </c>
      <c r="C447" s="55" t="s">
        <v>37</v>
      </c>
      <c r="D447" s="56">
        <v>9017164455</v>
      </c>
      <c r="E447" s="55"/>
      <c r="F447" s="94" t="s">
        <v>1552</v>
      </c>
      <c r="G447" s="56" t="s">
        <v>79</v>
      </c>
      <c r="H447" s="56" t="s">
        <v>83</v>
      </c>
      <c r="I447" s="56" t="s">
        <v>26</v>
      </c>
      <c r="J447" s="78" t="s">
        <v>106</v>
      </c>
    </row>
    <row r="448" spans="1:10" ht="15.75" customHeight="1" x14ac:dyDescent="0.3">
      <c r="A448" s="74" t="s">
        <v>1325</v>
      </c>
      <c r="B448" s="59" t="s">
        <v>157</v>
      </c>
      <c r="C448" s="59"/>
      <c r="D448" s="60"/>
      <c r="E448" s="59" t="s">
        <v>1326</v>
      </c>
      <c r="F448" s="95" t="s">
        <v>1551</v>
      </c>
      <c r="G448" s="60" t="s">
        <v>48</v>
      </c>
      <c r="H448" s="60" t="s">
        <v>49</v>
      </c>
      <c r="I448" s="60" t="s">
        <v>18</v>
      </c>
      <c r="J448" s="79" t="s">
        <v>66</v>
      </c>
    </row>
    <row r="449" spans="1:10" ht="15.75" customHeight="1" x14ac:dyDescent="0.3">
      <c r="A449" s="72" t="s">
        <v>1327</v>
      </c>
      <c r="B449" s="53" t="s">
        <v>227</v>
      </c>
      <c r="C449" s="53" t="s">
        <v>62</v>
      </c>
      <c r="D449" s="54"/>
      <c r="E449" s="53"/>
      <c r="F449" s="93" t="s">
        <v>1536</v>
      </c>
      <c r="G449" s="54" t="s">
        <v>16</v>
      </c>
      <c r="H449" s="54" t="s">
        <v>25</v>
      </c>
      <c r="I449" s="54" t="s">
        <v>18</v>
      </c>
      <c r="J449" s="77" t="s">
        <v>91</v>
      </c>
    </row>
    <row r="450" spans="1:10" ht="15.75" customHeight="1" x14ac:dyDescent="0.3">
      <c r="A450" s="75" t="s">
        <v>1329</v>
      </c>
      <c r="B450" s="61" t="s">
        <v>29</v>
      </c>
      <c r="C450" s="61" t="s">
        <v>62</v>
      </c>
      <c r="D450" s="62"/>
      <c r="E450" s="61"/>
      <c r="F450" s="96" t="s">
        <v>1550</v>
      </c>
      <c r="G450" s="62" t="s">
        <v>54</v>
      </c>
      <c r="H450" s="62" t="s">
        <v>1619</v>
      </c>
      <c r="I450" s="62" t="s">
        <v>26</v>
      </c>
      <c r="J450" s="80" t="s">
        <v>91</v>
      </c>
    </row>
    <row r="451" spans="1:10" ht="15.75" customHeight="1" x14ac:dyDescent="0.3">
      <c r="A451" s="72" t="s">
        <v>1330</v>
      </c>
      <c r="B451" s="53" t="s">
        <v>11</v>
      </c>
      <c r="C451" s="53" t="s">
        <v>12</v>
      </c>
      <c r="D451" s="54">
        <v>9988547281</v>
      </c>
      <c r="E451" s="53" t="s">
        <v>1332</v>
      </c>
      <c r="F451" s="93" t="s">
        <v>1549</v>
      </c>
      <c r="G451" s="54" t="s">
        <v>16</v>
      </c>
      <c r="H451" s="54" t="s">
        <v>72</v>
      </c>
      <c r="I451" s="54" t="s">
        <v>26</v>
      </c>
      <c r="J451" s="77" t="s">
        <v>143</v>
      </c>
    </row>
    <row r="452" spans="1:10" ht="15.75" customHeight="1" x14ac:dyDescent="0.3">
      <c r="A452" s="73" t="s">
        <v>1333</v>
      </c>
      <c r="B452" s="55" t="s">
        <v>227</v>
      </c>
      <c r="C452" s="55" t="s">
        <v>22</v>
      </c>
      <c r="D452" s="56"/>
      <c r="E452" s="55" t="s">
        <v>1334</v>
      </c>
      <c r="F452" s="94" t="s">
        <v>1548</v>
      </c>
      <c r="G452" s="56" t="s">
        <v>79</v>
      </c>
      <c r="H452" s="56" t="s">
        <v>125</v>
      </c>
      <c r="I452" s="56" t="s">
        <v>26</v>
      </c>
      <c r="J452" s="78" t="s">
        <v>27</v>
      </c>
    </row>
    <row r="453" spans="1:10" ht="15.75" customHeight="1" x14ac:dyDescent="0.3">
      <c r="A453" s="72" t="s">
        <v>730</v>
      </c>
      <c r="B453" s="53" t="s">
        <v>206</v>
      </c>
      <c r="C453" s="53" t="s">
        <v>119</v>
      </c>
      <c r="D453" s="54">
        <v>9510663436</v>
      </c>
      <c r="E453" s="53" t="s">
        <v>1336</v>
      </c>
      <c r="F453" s="93" t="s">
        <v>1547</v>
      </c>
      <c r="G453" s="54" t="s">
        <v>16</v>
      </c>
      <c r="H453" s="54" t="s">
        <v>25</v>
      </c>
      <c r="I453" s="54" t="s">
        <v>18</v>
      </c>
      <c r="J453" s="77" t="s">
        <v>19</v>
      </c>
    </row>
    <row r="454" spans="1:10" ht="15.75" customHeight="1" x14ac:dyDescent="0.3">
      <c r="A454" s="72" t="s">
        <v>1337</v>
      </c>
      <c r="B454" s="53" t="s">
        <v>202</v>
      </c>
      <c r="C454" s="53" t="s">
        <v>45</v>
      </c>
      <c r="D454" s="54">
        <v>9318143966</v>
      </c>
      <c r="E454" s="53"/>
      <c r="F454" s="93" t="s">
        <v>1546</v>
      </c>
      <c r="G454" s="54" t="s">
        <v>16</v>
      </c>
      <c r="H454" s="54" t="s">
        <v>25</v>
      </c>
      <c r="I454" s="54" t="s">
        <v>18</v>
      </c>
      <c r="J454" s="77" t="s">
        <v>34</v>
      </c>
    </row>
    <row r="455" spans="1:10" ht="15.75" customHeight="1" x14ac:dyDescent="0.3">
      <c r="A455" s="72" t="s">
        <v>406</v>
      </c>
      <c r="B455" s="53" t="s">
        <v>227</v>
      </c>
      <c r="C455" s="53"/>
      <c r="D455" s="54">
        <v>9974325122</v>
      </c>
      <c r="E455" s="53"/>
      <c r="F455" s="93" t="s">
        <v>1545</v>
      </c>
      <c r="G455" s="54" t="s">
        <v>16</v>
      </c>
      <c r="H455" s="54" t="s">
        <v>125</v>
      </c>
      <c r="I455" s="54" t="s">
        <v>18</v>
      </c>
      <c r="J455" s="77" t="s">
        <v>106</v>
      </c>
    </row>
    <row r="456" spans="1:10" ht="15.75" customHeight="1" x14ac:dyDescent="0.3">
      <c r="A456" s="72" t="s">
        <v>1340</v>
      </c>
      <c r="B456" s="53" t="s">
        <v>134</v>
      </c>
      <c r="C456" s="53" t="s">
        <v>119</v>
      </c>
      <c r="D456" s="54"/>
      <c r="E456" s="53" t="s">
        <v>1341</v>
      </c>
      <c r="F456" s="93" t="s">
        <v>1516</v>
      </c>
      <c r="G456" s="54" t="s">
        <v>16</v>
      </c>
      <c r="H456" s="54" t="s">
        <v>17</v>
      </c>
      <c r="I456" s="54" t="s">
        <v>26</v>
      </c>
      <c r="J456" s="77" t="s">
        <v>91</v>
      </c>
    </row>
    <row r="457" spans="1:10" ht="15.75" customHeight="1" x14ac:dyDescent="0.3">
      <c r="A457" s="75" t="s">
        <v>1342</v>
      </c>
      <c r="B457" s="61" t="s">
        <v>157</v>
      </c>
      <c r="C457" s="61" t="s">
        <v>12</v>
      </c>
      <c r="D457" s="62">
        <v>9705458971</v>
      </c>
      <c r="E457" s="61" t="s">
        <v>1321</v>
      </c>
      <c r="F457" s="96" t="s">
        <v>1516</v>
      </c>
      <c r="G457" s="62" t="s">
        <v>54</v>
      </c>
      <c r="H457" s="62" t="s">
        <v>125</v>
      </c>
      <c r="I457" s="62" t="s">
        <v>18</v>
      </c>
      <c r="J457" s="80" t="s">
        <v>91</v>
      </c>
    </row>
    <row r="458" spans="1:10" ht="15.75" customHeight="1" x14ac:dyDescent="0.3">
      <c r="A458" s="72" t="s">
        <v>1344</v>
      </c>
      <c r="B458" s="53" t="s">
        <v>193</v>
      </c>
      <c r="C458" s="53" t="s">
        <v>62</v>
      </c>
      <c r="D458" s="54">
        <v>9531361487</v>
      </c>
      <c r="E458" s="53" t="s">
        <v>1346</v>
      </c>
      <c r="F458" s="93" t="s">
        <v>1544</v>
      </c>
      <c r="G458" s="54" t="s">
        <v>16</v>
      </c>
      <c r="H458" s="54" t="s">
        <v>72</v>
      </c>
      <c r="I458" s="54" t="s">
        <v>18</v>
      </c>
      <c r="J458" s="77" t="s">
        <v>19</v>
      </c>
    </row>
    <row r="459" spans="1:10" ht="15.75" customHeight="1" x14ac:dyDescent="0.3">
      <c r="A459" s="74" t="s">
        <v>1348</v>
      </c>
      <c r="B459" s="59" t="s">
        <v>193</v>
      </c>
      <c r="C459" s="59" t="s">
        <v>12</v>
      </c>
      <c r="D459" s="60"/>
      <c r="E459" s="59"/>
      <c r="F459" s="95" t="s">
        <v>1543</v>
      </c>
      <c r="G459" s="60" t="s">
        <v>48</v>
      </c>
      <c r="H459" s="60" t="s">
        <v>125</v>
      </c>
      <c r="I459" s="60" t="s">
        <v>18</v>
      </c>
      <c r="J459" s="79" t="s">
        <v>91</v>
      </c>
    </row>
    <row r="460" spans="1:10" ht="15.75" customHeight="1" x14ac:dyDescent="0.3">
      <c r="A460" s="73" t="s">
        <v>1350</v>
      </c>
      <c r="B460" s="55" t="s">
        <v>227</v>
      </c>
      <c r="C460" s="55" t="s">
        <v>37</v>
      </c>
      <c r="D460" s="56">
        <v>9034910740</v>
      </c>
      <c r="E460" s="55" t="s">
        <v>312</v>
      </c>
      <c r="F460" s="94" t="s">
        <v>1542</v>
      </c>
      <c r="G460" s="56" t="s">
        <v>79</v>
      </c>
      <c r="H460" s="56" t="s">
        <v>125</v>
      </c>
      <c r="I460" s="56" t="s">
        <v>18</v>
      </c>
      <c r="J460" s="78" t="s">
        <v>34</v>
      </c>
    </row>
    <row r="461" spans="1:10" ht="15.75" customHeight="1" x14ac:dyDescent="0.3">
      <c r="A461" s="73" t="s">
        <v>1352</v>
      </c>
      <c r="B461" s="55" t="s">
        <v>275</v>
      </c>
      <c r="C461" s="55" t="s">
        <v>37</v>
      </c>
      <c r="D461" s="56">
        <v>9307536661</v>
      </c>
      <c r="E461" s="55" t="s">
        <v>1122</v>
      </c>
      <c r="F461" s="94" t="s">
        <v>1541</v>
      </c>
      <c r="G461" s="56" t="s">
        <v>79</v>
      </c>
      <c r="H461" s="56" t="s">
        <v>125</v>
      </c>
      <c r="I461" s="56" t="s">
        <v>26</v>
      </c>
      <c r="J461" s="78" t="s">
        <v>19</v>
      </c>
    </row>
    <row r="462" spans="1:10" ht="15.75" customHeight="1" x14ac:dyDescent="0.3">
      <c r="A462" s="73" t="s">
        <v>564</v>
      </c>
      <c r="B462" s="55" t="s">
        <v>227</v>
      </c>
      <c r="C462" s="55" t="s">
        <v>22</v>
      </c>
      <c r="D462" s="56">
        <v>9414978266</v>
      </c>
      <c r="E462" s="55"/>
      <c r="F462" s="94" t="s">
        <v>1514</v>
      </c>
      <c r="G462" s="56" t="s">
        <v>79</v>
      </c>
      <c r="H462" s="56" t="s">
        <v>42</v>
      </c>
      <c r="I462" s="56" t="s">
        <v>26</v>
      </c>
      <c r="J462" s="78"/>
    </row>
    <row r="463" spans="1:10" ht="15.75" customHeight="1" x14ac:dyDescent="0.3">
      <c r="A463" s="73" t="s">
        <v>1356</v>
      </c>
      <c r="B463" s="55" t="s">
        <v>206</v>
      </c>
      <c r="C463" s="55"/>
      <c r="D463" s="56">
        <v>9061294398</v>
      </c>
      <c r="E463" s="55"/>
      <c r="F463" s="94" t="s">
        <v>1540</v>
      </c>
      <c r="G463" s="56" t="s">
        <v>79</v>
      </c>
      <c r="H463" s="56" t="s">
        <v>42</v>
      </c>
      <c r="I463" s="56" t="s">
        <v>26</v>
      </c>
      <c r="J463" s="78"/>
    </row>
    <row r="464" spans="1:10" ht="15.75" customHeight="1" x14ac:dyDescent="0.3">
      <c r="A464" s="73" t="s">
        <v>1358</v>
      </c>
      <c r="B464" s="55" t="s">
        <v>193</v>
      </c>
      <c r="C464" s="55"/>
      <c r="D464" s="56"/>
      <c r="E464" s="55" t="s">
        <v>1359</v>
      </c>
      <c r="F464" s="94" t="s">
        <v>1510</v>
      </c>
      <c r="G464" s="56" t="s">
        <v>79</v>
      </c>
      <c r="H464" s="56" t="s">
        <v>125</v>
      </c>
      <c r="I464" s="56" t="s">
        <v>18</v>
      </c>
      <c r="J464" s="78" t="s">
        <v>91</v>
      </c>
    </row>
    <row r="465" spans="1:10" ht="15.75" customHeight="1" x14ac:dyDescent="0.3">
      <c r="A465" s="75" t="s">
        <v>1360</v>
      </c>
      <c r="B465" s="61" t="s">
        <v>275</v>
      </c>
      <c r="C465" s="61" t="s">
        <v>62</v>
      </c>
      <c r="D465" s="62">
        <v>9440793110</v>
      </c>
      <c r="E465" s="61"/>
      <c r="F465" s="96" t="s">
        <v>1539</v>
      </c>
      <c r="G465" s="62" t="s">
        <v>54</v>
      </c>
      <c r="H465" s="62" t="s">
        <v>49</v>
      </c>
      <c r="I465" s="62"/>
      <c r="J465" s="80" t="s">
        <v>27</v>
      </c>
    </row>
    <row r="466" spans="1:10" ht="15.75" customHeight="1" x14ac:dyDescent="0.3">
      <c r="A466" s="76" t="s">
        <v>1363</v>
      </c>
      <c r="B466" s="57" t="s">
        <v>29</v>
      </c>
      <c r="C466" s="57"/>
      <c r="D466" s="58"/>
      <c r="E466" s="57"/>
      <c r="F466" s="97" t="s">
        <v>1516</v>
      </c>
      <c r="G466" s="58" t="s">
        <v>111</v>
      </c>
      <c r="H466" s="58" t="s">
        <v>25</v>
      </c>
      <c r="I466" s="58" t="s">
        <v>26</v>
      </c>
      <c r="J466" s="81" t="s">
        <v>27</v>
      </c>
    </row>
    <row r="467" spans="1:10" ht="15.75" customHeight="1" x14ac:dyDescent="0.3">
      <c r="A467" s="72" t="s">
        <v>1364</v>
      </c>
      <c r="B467" s="53" t="s">
        <v>597</v>
      </c>
      <c r="C467" s="53" t="s">
        <v>12</v>
      </c>
      <c r="D467" s="54"/>
      <c r="E467" s="53"/>
      <c r="F467" s="93" t="s">
        <v>1538</v>
      </c>
      <c r="G467" s="54" t="s">
        <v>16</v>
      </c>
      <c r="H467" s="54" t="s">
        <v>1619</v>
      </c>
      <c r="I467" s="54" t="s">
        <v>18</v>
      </c>
      <c r="J467" s="77" t="s">
        <v>66</v>
      </c>
    </row>
    <row r="468" spans="1:10" ht="15.75" customHeight="1" x14ac:dyDescent="0.3">
      <c r="A468" s="76" t="s">
        <v>1365</v>
      </c>
      <c r="B468" s="57" t="s">
        <v>29</v>
      </c>
      <c r="C468" s="57" t="s">
        <v>12</v>
      </c>
      <c r="D468" s="58">
        <v>9774025883</v>
      </c>
      <c r="E468" s="57" t="s">
        <v>1367</v>
      </c>
      <c r="F468" s="97" t="s">
        <v>1537</v>
      </c>
      <c r="G468" s="58" t="s">
        <v>111</v>
      </c>
      <c r="H468" s="58" t="s">
        <v>17</v>
      </c>
      <c r="I468" s="58" t="s">
        <v>26</v>
      </c>
      <c r="J468" s="81" t="s">
        <v>143</v>
      </c>
    </row>
    <row r="469" spans="1:10" ht="15.75" customHeight="1" x14ac:dyDescent="0.3">
      <c r="A469" s="72" t="s">
        <v>1368</v>
      </c>
      <c r="B469" s="53" t="s">
        <v>227</v>
      </c>
      <c r="C469" s="53" t="s">
        <v>37</v>
      </c>
      <c r="D469" s="54"/>
      <c r="E469" s="53" t="s">
        <v>1369</v>
      </c>
      <c r="F469" s="93" t="s">
        <v>1536</v>
      </c>
      <c r="G469" s="54" t="s">
        <v>16</v>
      </c>
      <c r="H469" s="54" t="s">
        <v>1619</v>
      </c>
      <c r="I469" s="54"/>
      <c r="J469" s="77" t="s">
        <v>143</v>
      </c>
    </row>
    <row r="470" spans="1:10" ht="15.75" customHeight="1" x14ac:dyDescent="0.3">
      <c r="A470" s="73" t="s">
        <v>1370</v>
      </c>
      <c r="B470" s="55" t="s">
        <v>597</v>
      </c>
      <c r="C470" s="55" t="s">
        <v>119</v>
      </c>
      <c r="D470" s="56">
        <v>9533126610</v>
      </c>
      <c r="E470" s="55"/>
      <c r="F470" s="94" t="s">
        <v>1535</v>
      </c>
      <c r="G470" s="56" t="s">
        <v>79</v>
      </c>
      <c r="H470" s="56" t="s">
        <v>49</v>
      </c>
      <c r="I470" s="56" t="s">
        <v>26</v>
      </c>
      <c r="J470" s="78" t="s">
        <v>51</v>
      </c>
    </row>
    <row r="471" spans="1:10" ht="15.75" customHeight="1" x14ac:dyDescent="0.3">
      <c r="A471" s="72" t="s">
        <v>1372</v>
      </c>
      <c r="B471" s="53" t="s">
        <v>202</v>
      </c>
      <c r="C471" s="53" t="s">
        <v>62</v>
      </c>
      <c r="D471" s="54"/>
      <c r="E471" s="53" t="s">
        <v>1373</v>
      </c>
      <c r="F471" s="93" t="s">
        <v>1534</v>
      </c>
      <c r="G471" s="54" t="s">
        <v>16</v>
      </c>
      <c r="H471" s="54" t="s">
        <v>125</v>
      </c>
      <c r="I471" s="54" t="s">
        <v>18</v>
      </c>
      <c r="J471" s="77" t="s">
        <v>51</v>
      </c>
    </row>
    <row r="472" spans="1:10" ht="15.75" customHeight="1" x14ac:dyDescent="0.3">
      <c r="A472" s="72" t="s">
        <v>1375</v>
      </c>
      <c r="B472" s="53" t="s">
        <v>206</v>
      </c>
      <c r="C472" s="53" t="s">
        <v>37</v>
      </c>
      <c r="D472" s="54">
        <v>9287339785</v>
      </c>
      <c r="E472" s="53" t="s">
        <v>1377</v>
      </c>
      <c r="F472" s="93" t="s">
        <v>1512</v>
      </c>
      <c r="G472" s="54" t="s">
        <v>16</v>
      </c>
      <c r="H472" s="54" t="s">
        <v>65</v>
      </c>
      <c r="I472" s="54" t="s">
        <v>18</v>
      </c>
      <c r="J472" s="77" t="s">
        <v>106</v>
      </c>
    </row>
    <row r="473" spans="1:10" ht="15.75" customHeight="1" x14ac:dyDescent="0.3">
      <c r="A473" s="72" t="s">
        <v>1378</v>
      </c>
      <c r="B473" s="53" t="s">
        <v>134</v>
      </c>
      <c r="C473" s="53" t="s">
        <v>37</v>
      </c>
      <c r="D473" s="54">
        <v>9309850344</v>
      </c>
      <c r="E473" s="53"/>
      <c r="F473" s="93" t="s">
        <v>1533</v>
      </c>
      <c r="G473" s="54" t="s">
        <v>16</v>
      </c>
      <c r="H473" s="54" t="s">
        <v>25</v>
      </c>
      <c r="I473" s="54"/>
      <c r="J473" s="77" t="s">
        <v>27</v>
      </c>
    </row>
    <row r="474" spans="1:10" ht="15.75" customHeight="1" x14ac:dyDescent="0.3">
      <c r="A474" s="73" t="s">
        <v>1381</v>
      </c>
      <c r="B474" s="55" t="s">
        <v>227</v>
      </c>
      <c r="C474" s="55" t="s">
        <v>45</v>
      </c>
      <c r="D474" s="56">
        <v>9974005643</v>
      </c>
      <c r="E474" s="55"/>
      <c r="F474" s="94" t="s">
        <v>1515</v>
      </c>
      <c r="G474" s="56" t="s">
        <v>79</v>
      </c>
      <c r="H474" s="56" t="s">
        <v>65</v>
      </c>
      <c r="I474" s="56"/>
      <c r="J474" s="78" t="s">
        <v>66</v>
      </c>
    </row>
    <row r="475" spans="1:10" ht="15.75" customHeight="1" x14ac:dyDescent="0.3">
      <c r="A475" s="73" t="s">
        <v>1383</v>
      </c>
      <c r="B475" s="55" t="s">
        <v>157</v>
      </c>
      <c r="C475" s="55" t="s">
        <v>45</v>
      </c>
      <c r="D475" s="56">
        <v>9187240107</v>
      </c>
      <c r="E475" s="55" t="s">
        <v>1385</v>
      </c>
      <c r="F475" s="94" t="s">
        <v>1532</v>
      </c>
      <c r="G475" s="56" t="s">
        <v>79</v>
      </c>
      <c r="H475" s="56" t="s">
        <v>49</v>
      </c>
      <c r="I475" s="56"/>
      <c r="J475" s="78" t="s">
        <v>19</v>
      </c>
    </row>
    <row r="476" spans="1:10" ht="15.75" customHeight="1" x14ac:dyDescent="0.3">
      <c r="A476" s="73" t="s">
        <v>1387</v>
      </c>
      <c r="B476" s="55" t="s">
        <v>206</v>
      </c>
      <c r="C476" s="55" t="s">
        <v>37</v>
      </c>
      <c r="D476" s="56">
        <v>9626682171</v>
      </c>
      <c r="E476" s="55" t="s">
        <v>1389</v>
      </c>
      <c r="F476" s="94" t="s">
        <v>1531</v>
      </c>
      <c r="G476" s="56" t="s">
        <v>79</v>
      </c>
      <c r="H476" s="56" t="s">
        <v>65</v>
      </c>
      <c r="I476" s="56" t="s">
        <v>18</v>
      </c>
      <c r="J476" s="78" t="s">
        <v>66</v>
      </c>
    </row>
    <row r="477" spans="1:10" ht="15.75" customHeight="1" x14ac:dyDescent="0.3">
      <c r="A477" s="74" t="s">
        <v>1391</v>
      </c>
      <c r="B477" s="59" t="s">
        <v>597</v>
      </c>
      <c r="C477" s="59"/>
      <c r="D477" s="60">
        <v>9900301027</v>
      </c>
      <c r="E477" s="59" t="s">
        <v>1049</v>
      </c>
      <c r="F477" s="95" t="s">
        <v>1530</v>
      </c>
      <c r="G477" s="60" t="s">
        <v>48</v>
      </c>
      <c r="H477" s="60" t="s">
        <v>42</v>
      </c>
      <c r="I477" s="60" t="s">
        <v>26</v>
      </c>
      <c r="J477" s="79" t="s">
        <v>106</v>
      </c>
    </row>
    <row r="478" spans="1:10" ht="15.75" customHeight="1" x14ac:dyDescent="0.3">
      <c r="A478" s="73" t="s">
        <v>1393</v>
      </c>
      <c r="B478" s="55" t="s">
        <v>202</v>
      </c>
      <c r="C478" s="55" t="s">
        <v>45</v>
      </c>
      <c r="D478" s="56">
        <v>9753745843</v>
      </c>
      <c r="E478" s="55" t="s">
        <v>1395</v>
      </c>
      <c r="F478" s="94" t="s">
        <v>1529</v>
      </c>
      <c r="G478" s="56" t="s">
        <v>79</v>
      </c>
      <c r="H478" s="56" t="s">
        <v>42</v>
      </c>
      <c r="I478" s="56" t="s">
        <v>26</v>
      </c>
      <c r="J478" s="78" t="s">
        <v>91</v>
      </c>
    </row>
    <row r="479" spans="1:10" ht="15.75" customHeight="1" x14ac:dyDescent="0.3">
      <c r="A479" s="73" t="s">
        <v>1397</v>
      </c>
      <c r="B479" s="55" t="s">
        <v>227</v>
      </c>
      <c r="C479" s="55" t="s">
        <v>22</v>
      </c>
      <c r="D479" s="56"/>
      <c r="E479" s="55" t="s">
        <v>1398</v>
      </c>
      <c r="F479" s="94" t="s">
        <v>1528</v>
      </c>
      <c r="G479" s="56" t="s">
        <v>79</v>
      </c>
      <c r="H479" s="56" t="s">
        <v>42</v>
      </c>
      <c r="I479" s="56" t="s">
        <v>18</v>
      </c>
      <c r="J479" s="78" t="s">
        <v>106</v>
      </c>
    </row>
    <row r="480" spans="1:10" ht="15.75" customHeight="1" x14ac:dyDescent="0.3">
      <c r="A480" s="73" t="s">
        <v>1399</v>
      </c>
      <c r="B480" s="55" t="s">
        <v>153</v>
      </c>
      <c r="C480" s="55" t="s">
        <v>119</v>
      </c>
      <c r="D480" s="56"/>
      <c r="E480" s="55"/>
      <c r="F480" s="94" t="s">
        <v>1527</v>
      </c>
      <c r="G480" s="56" t="s">
        <v>79</v>
      </c>
      <c r="H480" s="56" t="s">
        <v>17</v>
      </c>
      <c r="I480" s="56"/>
      <c r="J480" s="78" t="s">
        <v>34</v>
      </c>
    </row>
    <row r="481" spans="1:10" ht="15.75" customHeight="1" x14ac:dyDescent="0.3">
      <c r="A481" s="72" t="s">
        <v>1400</v>
      </c>
      <c r="B481" s="53" t="s">
        <v>597</v>
      </c>
      <c r="C481" s="53"/>
      <c r="D481" s="54">
        <v>9660186487</v>
      </c>
      <c r="E481" s="53" t="s">
        <v>1402</v>
      </c>
      <c r="F481" s="93" t="s">
        <v>1526</v>
      </c>
      <c r="G481" s="54" t="s">
        <v>16</v>
      </c>
      <c r="H481" s="54" t="s">
        <v>25</v>
      </c>
      <c r="I481" s="54" t="s">
        <v>26</v>
      </c>
      <c r="J481" s="77" t="s">
        <v>66</v>
      </c>
    </row>
    <row r="482" spans="1:10" ht="15.75" customHeight="1" x14ac:dyDescent="0.3">
      <c r="A482" s="72" t="s">
        <v>1403</v>
      </c>
      <c r="B482" s="53" t="s">
        <v>227</v>
      </c>
      <c r="C482" s="53"/>
      <c r="D482" s="54">
        <v>9845960945</v>
      </c>
      <c r="E482" s="53" t="s">
        <v>465</v>
      </c>
      <c r="F482" s="93" t="s">
        <v>1525</v>
      </c>
      <c r="G482" s="54" t="s">
        <v>16</v>
      </c>
      <c r="H482" s="54" t="s">
        <v>17</v>
      </c>
      <c r="I482" s="54"/>
      <c r="J482" s="77" t="s">
        <v>34</v>
      </c>
    </row>
    <row r="483" spans="1:10" ht="15.75" customHeight="1" x14ac:dyDescent="0.3">
      <c r="A483" s="76" t="s">
        <v>1405</v>
      </c>
      <c r="B483" s="57" t="s">
        <v>134</v>
      </c>
      <c r="C483" s="57" t="s">
        <v>119</v>
      </c>
      <c r="D483" s="58">
        <v>9705783609</v>
      </c>
      <c r="E483" s="57" t="s">
        <v>248</v>
      </c>
      <c r="F483" s="97" t="s">
        <v>1512</v>
      </c>
      <c r="G483" s="58" t="s">
        <v>111</v>
      </c>
      <c r="H483" s="58" t="s">
        <v>72</v>
      </c>
      <c r="I483" s="58" t="s">
        <v>18</v>
      </c>
      <c r="J483" s="81" t="s">
        <v>91</v>
      </c>
    </row>
    <row r="484" spans="1:10" ht="15.75" customHeight="1" x14ac:dyDescent="0.3">
      <c r="A484" s="73" t="s">
        <v>1407</v>
      </c>
      <c r="B484" s="55" t="s">
        <v>275</v>
      </c>
      <c r="C484" s="55" t="s">
        <v>22</v>
      </c>
      <c r="D484" s="56">
        <v>9031028795</v>
      </c>
      <c r="E484" s="55" t="s">
        <v>1409</v>
      </c>
      <c r="F484" s="94" t="s">
        <v>1524</v>
      </c>
      <c r="G484" s="56" t="s">
        <v>79</v>
      </c>
      <c r="H484" s="56" t="s">
        <v>17</v>
      </c>
      <c r="I484" s="56" t="s">
        <v>18</v>
      </c>
      <c r="J484" s="78" t="s">
        <v>66</v>
      </c>
    </row>
    <row r="485" spans="1:10" ht="15.75" customHeight="1" x14ac:dyDescent="0.3">
      <c r="A485" s="76" t="s">
        <v>1411</v>
      </c>
      <c r="B485" s="57" t="s">
        <v>597</v>
      </c>
      <c r="C485" s="57"/>
      <c r="D485" s="58"/>
      <c r="E485" s="57" t="s">
        <v>344</v>
      </c>
      <c r="F485" s="97" t="s">
        <v>1523</v>
      </c>
      <c r="G485" s="58" t="s">
        <v>111</v>
      </c>
      <c r="H485" s="58" t="s">
        <v>1619</v>
      </c>
      <c r="I485" s="58" t="s">
        <v>18</v>
      </c>
      <c r="J485" s="81" t="s">
        <v>51</v>
      </c>
    </row>
    <row r="486" spans="1:10" ht="15.75" customHeight="1" x14ac:dyDescent="0.3">
      <c r="A486" s="73" t="s">
        <v>1412</v>
      </c>
      <c r="B486" s="55" t="s">
        <v>157</v>
      </c>
      <c r="C486" s="55" t="s">
        <v>12</v>
      </c>
      <c r="D486" s="56">
        <v>9490250429</v>
      </c>
      <c r="E486" s="55"/>
      <c r="F486" s="94" t="s">
        <v>1522</v>
      </c>
      <c r="G486" s="56" t="s">
        <v>79</v>
      </c>
      <c r="H486" s="56" t="s">
        <v>42</v>
      </c>
      <c r="I486" s="56"/>
      <c r="J486" s="78" t="s">
        <v>66</v>
      </c>
    </row>
    <row r="487" spans="1:10" ht="15.75" customHeight="1" x14ac:dyDescent="0.3">
      <c r="A487" s="73" t="s">
        <v>1086</v>
      </c>
      <c r="B487" s="55" t="s">
        <v>134</v>
      </c>
      <c r="C487" s="55" t="s">
        <v>62</v>
      </c>
      <c r="D487" s="56"/>
      <c r="E487" s="55" t="s">
        <v>1414</v>
      </c>
      <c r="F487" s="94" t="s">
        <v>1521</v>
      </c>
      <c r="G487" s="56" t="s">
        <v>79</v>
      </c>
      <c r="H487" s="56" t="s">
        <v>72</v>
      </c>
      <c r="I487" s="56" t="s">
        <v>26</v>
      </c>
      <c r="J487" s="78" t="s">
        <v>51</v>
      </c>
    </row>
    <row r="488" spans="1:10" ht="15.75" customHeight="1" x14ac:dyDescent="0.3">
      <c r="A488" s="76" t="s">
        <v>1415</v>
      </c>
      <c r="B488" s="57" t="s">
        <v>597</v>
      </c>
      <c r="C488" s="57" t="s">
        <v>12</v>
      </c>
      <c r="D488" s="58">
        <v>9376515881</v>
      </c>
      <c r="E488" s="57" t="s">
        <v>1417</v>
      </c>
      <c r="F488" s="97" t="s">
        <v>1520</v>
      </c>
      <c r="G488" s="58" t="s">
        <v>111</v>
      </c>
      <c r="H488" s="58" t="s">
        <v>25</v>
      </c>
      <c r="I488" s="58"/>
      <c r="J488" s="81"/>
    </row>
    <row r="489" spans="1:10" ht="15.75" customHeight="1" x14ac:dyDescent="0.3">
      <c r="A489" s="73" t="s">
        <v>1418</v>
      </c>
      <c r="B489" s="55" t="s">
        <v>134</v>
      </c>
      <c r="C489" s="55" t="s">
        <v>12</v>
      </c>
      <c r="D489" s="56"/>
      <c r="E489" s="55"/>
      <c r="F489" s="94" t="s">
        <v>1519</v>
      </c>
      <c r="G489" s="56" t="s">
        <v>79</v>
      </c>
      <c r="H489" s="56" t="s">
        <v>42</v>
      </c>
      <c r="I489" s="56" t="s">
        <v>18</v>
      </c>
      <c r="J489" s="78" t="s">
        <v>27</v>
      </c>
    </row>
    <row r="490" spans="1:10" ht="15.75" customHeight="1" x14ac:dyDescent="0.3">
      <c r="A490" s="73" t="s">
        <v>1420</v>
      </c>
      <c r="B490" s="55" t="s">
        <v>29</v>
      </c>
      <c r="C490" s="55" t="s">
        <v>37</v>
      </c>
      <c r="D490" s="56">
        <v>9021288665</v>
      </c>
      <c r="E490" s="55" t="s">
        <v>1422</v>
      </c>
      <c r="F490" s="94" t="s">
        <v>1518</v>
      </c>
      <c r="G490" s="56" t="s">
        <v>79</v>
      </c>
      <c r="H490" s="56" t="s">
        <v>17</v>
      </c>
      <c r="I490" s="56" t="s">
        <v>18</v>
      </c>
      <c r="J490" s="78" t="s">
        <v>106</v>
      </c>
    </row>
    <row r="491" spans="1:10" ht="15.75" customHeight="1" x14ac:dyDescent="0.3">
      <c r="A491" s="72" t="s">
        <v>1424</v>
      </c>
      <c r="B491" s="53" t="s">
        <v>193</v>
      </c>
      <c r="C491" s="53" t="s">
        <v>12</v>
      </c>
      <c r="D491" s="54">
        <v>9676472298</v>
      </c>
      <c r="E491" s="53"/>
      <c r="F491" s="93" t="s">
        <v>1517</v>
      </c>
      <c r="G491" s="54" t="s">
        <v>16</v>
      </c>
      <c r="H491" s="54" t="s">
        <v>83</v>
      </c>
      <c r="I491" s="54" t="s">
        <v>26</v>
      </c>
      <c r="J491" s="77" t="s">
        <v>27</v>
      </c>
    </row>
    <row r="492" spans="1:10" ht="15.75" customHeight="1" x14ac:dyDescent="0.3">
      <c r="A492" s="75" t="s">
        <v>1427</v>
      </c>
      <c r="B492" s="61" t="s">
        <v>227</v>
      </c>
      <c r="C492" s="61" t="s">
        <v>119</v>
      </c>
      <c r="D492" s="62">
        <v>9098898645</v>
      </c>
      <c r="E492" s="61"/>
      <c r="F492" s="96" t="s">
        <v>1516</v>
      </c>
      <c r="G492" s="62" t="s">
        <v>54</v>
      </c>
      <c r="H492" s="62" t="s">
        <v>72</v>
      </c>
      <c r="I492" s="62" t="s">
        <v>18</v>
      </c>
      <c r="J492" s="80" t="s">
        <v>51</v>
      </c>
    </row>
    <row r="493" spans="1:10" ht="15.75" customHeight="1" x14ac:dyDescent="0.3">
      <c r="A493" s="73" t="s">
        <v>1429</v>
      </c>
      <c r="B493" s="55" t="s">
        <v>202</v>
      </c>
      <c r="C493" s="55" t="s">
        <v>37</v>
      </c>
      <c r="D493" s="56">
        <v>9477324491</v>
      </c>
      <c r="E493" s="55"/>
      <c r="F493" s="94" t="s">
        <v>1515</v>
      </c>
      <c r="G493" s="56" t="s">
        <v>79</v>
      </c>
      <c r="H493" s="56" t="s">
        <v>49</v>
      </c>
      <c r="I493" s="56" t="s">
        <v>18</v>
      </c>
      <c r="J493" s="78" t="s">
        <v>27</v>
      </c>
    </row>
    <row r="494" spans="1:10" ht="15.75" customHeight="1" x14ac:dyDescent="0.3">
      <c r="A494" s="72" t="s">
        <v>530</v>
      </c>
      <c r="B494" s="53" t="s">
        <v>597</v>
      </c>
      <c r="C494" s="53"/>
      <c r="D494" s="54">
        <v>9534967827</v>
      </c>
      <c r="E494" s="53" t="s">
        <v>1432</v>
      </c>
      <c r="F494" s="93" t="s">
        <v>1514</v>
      </c>
      <c r="G494" s="54" t="s">
        <v>16</v>
      </c>
      <c r="H494" s="54" t="s">
        <v>125</v>
      </c>
      <c r="I494" s="54" t="s">
        <v>18</v>
      </c>
      <c r="J494" s="77" t="s">
        <v>106</v>
      </c>
    </row>
    <row r="495" spans="1:10" ht="15.75" customHeight="1" x14ac:dyDescent="0.3">
      <c r="A495" s="73" t="s">
        <v>1434</v>
      </c>
      <c r="B495" s="55" t="s">
        <v>157</v>
      </c>
      <c r="C495" s="55" t="s">
        <v>22</v>
      </c>
      <c r="D495" s="56">
        <v>9528547815</v>
      </c>
      <c r="E495" s="55" t="s">
        <v>1436</v>
      </c>
      <c r="F495" s="94" t="s">
        <v>1513</v>
      </c>
      <c r="G495" s="56" t="s">
        <v>79</v>
      </c>
      <c r="H495" s="56" t="s">
        <v>49</v>
      </c>
      <c r="I495" s="56" t="s">
        <v>26</v>
      </c>
      <c r="J495" s="78" t="s">
        <v>143</v>
      </c>
    </row>
    <row r="496" spans="1:10" ht="15.75" customHeight="1" x14ac:dyDescent="0.3">
      <c r="A496" s="75" t="s">
        <v>1437</v>
      </c>
      <c r="B496" s="61" t="s">
        <v>11</v>
      </c>
      <c r="C496" s="61" t="s">
        <v>12</v>
      </c>
      <c r="D496" s="62"/>
      <c r="E496" s="61" t="s">
        <v>1438</v>
      </c>
      <c r="F496" s="96" t="s">
        <v>1512</v>
      </c>
      <c r="G496" s="62" t="s">
        <v>54</v>
      </c>
      <c r="H496" s="62" t="s">
        <v>49</v>
      </c>
      <c r="I496" s="62" t="s">
        <v>26</v>
      </c>
      <c r="J496" s="80" t="s">
        <v>34</v>
      </c>
    </row>
    <row r="497" spans="1:10" ht="15.75" customHeight="1" x14ac:dyDescent="0.3">
      <c r="A497" s="72" t="s">
        <v>1439</v>
      </c>
      <c r="B497" s="53" t="s">
        <v>206</v>
      </c>
      <c r="C497" s="53" t="s">
        <v>12</v>
      </c>
      <c r="D497" s="54">
        <v>9824347769</v>
      </c>
      <c r="E497" s="53" t="s">
        <v>46</v>
      </c>
      <c r="F497" s="93" t="s">
        <v>1511</v>
      </c>
      <c r="G497" s="54" t="s">
        <v>16</v>
      </c>
      <c r="H497" s="54" t="s">
        <v>17</v>
      </c>
      <c r="I497" s="54" t="s">
        <v>26</v>
      </c>
      <c r="J497" s="77"/>
    </row>
    <row r="498" spans="1:10" ht="15.75" customHeight="1" x14ac:dyDescent="0.3">
      <c r="A498" s="74" t="s">
        <v>1441</v>
      </c>
      <c r="B498" s="59" t="s">
        <v>202</v>
      </c>
      <c r="C498" s="59" t="s">
        <v>12</v>
      </c>
      <c r="D498" s="60">
        <v>9562779630</v>
      </c>
      <c r="E498" s="59" t="s">
        <v>1443</v>
      </c>
      <c r="F498" s="95" t="s">
        <v>1510</v>
      </c>
      <c r="G498" s="60" t="s">
        <v>48</v>
      </c>
      <c r="H498" s="60" t="s">
        <v>42</v>
      </c>
      <c r="I498" s="60" t="s">
        <v>26</v>
      </c>
      <c r="J498" s="79" t="s">
        <v>91</v>
      </c>
    </row>
    <row r="499" spans="1:10" ht="15.75" customHeight="1" x14ac:dyDescent="0.3">
      <c r="A499" s="76" t="s">
        <v>1444</v>
      </c>
      <c r="B499" s="57" t="s">
        <v>206</v>
      </c>
      <c r="C499" s="57" t="s">
        <v>37</v>
      </c>
      <c r="D499" s="58">
        <v>9735047639</v>
      </c>
      <c r="E499" s="57" t="s">
        <v>1446</v>
      </c>
      <c r="F499" s="97" t="s">
        <v>1509</v>
      </c>
      <c r="G499" s="58" t="s">
        <v>111</v>
      </c>
      <c r="H499" s="58" t="s">
        <v>49</v>
      </c>
      <c r="I499" s="58" t="s">
        <v>26</v>
      </c>
      <c r="J499" s="81" t="s">
        <v>66</v>
      </c>
    </row>
    <row r="500" spans="1:10" ht="15.75" customHeight="1" x14ac:dyDescent="0.3">
      <c r="A500" s="73" t="s">
        <v>1447</v>
      </c>
      <c r="B500" s="55" t="s">
        <v>206</v>
      </c>
      <c r="C500" s="55" t="s">
        <v>12</v>
      </c>
      <c r="D500" s="56"/>
      <c r="E500" s="55" t="s">
        <v>1448</v>
      </c>
      <c r="F500" s="94" t="s">
        <v>1508</v>
      </c>
      <c r="G500" s="56" t="s">
        <v>79</v>
      </c>
      <c r="H500" s="56" t="s">
        <v>25</v>
      </c>
      <c r="I500" s="56" t="s">
        <v>18</v>
      </c>
      <c r="J500" s="78" t="s">
        <v>19</v>
      </c>
    </row>
    <row r="501" spans="1:10" ht="15.75" customHeight="1" x14ac:dyDescent="0.3">
      <c r="A501" s="85" t="s">
        <v>1449</v>
      </c>
      <c r="B501" s="86" t="s">
        <v>193</v>
      </c>
      <c r="C501" s="55" t="s">
        <v>12</v>
      </c>
      <c r="D501" s="87">
        <v>9186702440</v>
      </c>
      <c r="E501" s="86" t="s">
        <v>1451</v>
      </c>
      <c r="F501" s="98" t="s">
        <v>1507</v>
      </c>
      <c r="G501" s="87" t="s">
        <v>16</v>
      </c>
      <c r="H501" s="87" t="s">
        <v>125</v>
      </c>
      <c r="I501" s="87"/>
      <c r="J501" s="88" t="s">
        <v>34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7AD0E-2915-403A-AECA-1168CEDD25B7}">
  <sheetPr codeName="Sheet4"/>
  <dimension ref="A1:M46"/>
  <sheetViews>
    <sheetView showGridLines="0" topLeftCell="A43" zoomScale="108" zoomScaleNormal="100" workbookViewId="0">
      <selection activeCell="M8" sqref="M8"/>
    </sheetView>
  </sheetViews>
  <sheetFormatPr defaultColWidth="8.6640625" defaultRowHeight="14.4" x14ac:dyDescent="0.3"/>
  <cols>
    <col min="1" max="10" width="13" style="6" customWidth="1"/>
    <col min="11" max="16384" width="8.6640625" style="6"/>
  </cols>
  <sheetData>
    <row r="1" spans="1:13" ht="39.75" customHeight="1" x14ac:dyDescent="0.3">
      <c r="A1" s="107" t="s">
        <v>1506</v>
      </c>
      <c r="B1" s="107"/>
      <c r="C1" s="107"/>
      <c r="D1" s="107"/>
      <c r="E1" s="107"/>
      <c r="F1" s="107"/>
      <c r="G1" s="107"/>
      <c r="H1" s="107"/>
      <c r="I1" s="107"/>
      <c r="J1" s="107"/>
      <c r="L1"/>
      <c r="M1"/>
    </row>
    <row r="2" spans="1:13" ht="19.5" customHeight="1" x14ac:dyDescent="0.3">
      <c r="A2" s="108" t="s">
        <v>1505</v>
      </c>
      <c r="B2" s="108"/>
      <c r="C2" s="108"/>
      <c r="D2" s="108"/>
      <c r="E2" s="108"/>
      <c r="F2" s="108"/>
      <c r="G2" s="108"/>
      <c r="H2" s="108"/>
      <c r="I2" s="108"/>
      <c r="J2" s="108"/>
      <c r="L2"/>
      <c r="M2"/>
    </row>
    <row r="3" spans="1:13" ht="9.75" customHeight="1" x14ac:dyDescent="0.3">
      <c r="L3"/>
      <c r="M3"/>
    </row>
    <row r="4" spans="1:13" ht="21.75" customHeight="1" x14ac:dyDescent="0.3">
      <c r="A4" s="109" t="s">
        <v>1504</v>
      </c>
      <c r="B4" s="109"/>
      <c r="C4" s="110" t="s">
        <v>142</v>
      </c>
      <c r="D4" s="110"/>
      <c r="E4" s="111" t="s">
        <v>1503</v>
      </c>
      <c r="F4" s="111"/>
      <c r="G4" s="112" t="s">
        <v>1502</v>
      </c>
      <c r="H4" s="112"/>
      <c r="I4" s="113" t="s">
        <v>1501</v>
      </c>
      <c r="J4" s="113"/>
      <c r="L4"/>
      <c r="M4"/>
    </row>
    <row r="5" spans="1:13" ht="43.5" customHeight="1" x14ac:dyDescent="0.3">
      <c r="A5" s="104">
        <f>COUNTA('Cleaned Data'!G2:G501)</f>
        <v>500</v>
      </c>
      <c r="B5" s="104"/>
      <c r="C5" s="105">
        <f>COUNTIF('Cleaned Data'!G1:G505,"Converted")</f>
        <v>184</v>
      </c>
      <c r="D5" s="106"/>
      <c r="E5" s="114">
        <f>C5/A5</f>
        <v>0.36799999999999999</v>
      </c>
      <c r="F5" s="114"/>
      <c r="G5" s="115">
        <f>COUNTIFS('Cleaned Data'!G1:G501,"Callback")+COUNTIFS('Cleaned Data'!G1:G501,"Open")</f>
        <v>195</v>
      </c>
      <c r="H5" s="115"/>
      <c r="I5" s="115">
        <f>COUNTIFS('Cleaned Data'!G1:G501,"Lost")+COUNTIFS('Cleaned Data'!G1:G501,"Not interested")</f>
        <v>121</v>
      </c>
      <c r="J5" s="115"/>
      <c r="L5"/>
      <c r="M5"/>
    </row>
    <row r="6" spans="1:13" ht="15.75" customHeight="1" x14ac:dyDescent="0.3">
      <c r="A6" s="120"/>
      <c r="B6" s="120"/>
      <c r="C6" s="121"/>
      <c r="D6" s="121"/>
      <c r="E6" s="116"/>
      <c r="F6" s="116"/>
      <c r="G6" s="122"/>
      <c r="H6" s="122"/>
      <c r="I6" s="123"/>
      <c r="J6" s="123"/>
      <c r="L6"/>
      <c r="M6"/>
    </row>
    <row r="7" spans="1:13" ht="9.75" customHeight="1" x14ac:dyDescent="0.3">
      <c r="A7" s="120"/>
      <c r="B7" s="120"/>
      <c r="C7" s="121"/>
      <c r="D7" s="121"/>
      <c r="E7" s="116"/>
      <c r="F7" s="116"/>
      <c r="G7" s="122"/>
      <c r="H7" s="122"/>
      <c r="I7" s="123"/>
      <c r="J7" s="123"/>
      <c r="L7"/>
      <c r="M7"/>
    </row>
    <row r="8" spans="1:13" ht="9.75" customHeight="1" x14ac:dyDescent="0.3">
      <c r="L8"/>
      <c r="M8"/>
    </row>
    <row r="9" spans="1:13" ht="25.5" customHeight="1" x14ac:dyDescent="0.3">
      <c r="A9" s="117" t="s">
        <v>1500</v>
      </c>
      <c r="B9" s="117"/>
      <c r="C9" s="117"/>
      <c r="D9" s="117"/>
      <c r="E9" s="117"/>
      <c r="F9" s="124" t="s">
        <v>1499</v>
      </c>
      <c r="G9" s="125"/>
      <c r="H9" s="125"/>
      <c r="I9" s="126"/>
      <c r="J9"/>
      <c r="L9"/>
      <c r="M9"/>
    </row>
    <row r="10" spans="1:13" ht="19.5" customHeight="1" x14ac:dyDescent="0.3">
      <c r="A10" s="28" t="s">
        <v>6</v>
      </c>
      <c r="B10" s="28" t="s">
        <v>1496</v>
      </c>
      <c r="C10" s="28" t="s">
        <v>1471</v>
      </c>
      <c r="D10" s="28" t="s">
        <v>1498</v>
      </c>
      <c r="E10" s="28" t="s">
        <v>1453</v>
      </c>
      <c r="F10" s="52" t="s">
        <v>1497</v>
      </c>
      <c r="G10" s="52" t="s">
        <v>1496</v>
      </c>
      <c r="H10" s="52" t="s">
        <v>1471</v>
      </c>
      <c r="I10" s="52" t="s">
        <v>1470</v>
      </c>
      <c r="J10"/>
      <c r="L10"/>
      <c r="M10"/>
    </row>
    <row r="11" spans="1:13" ht="19.5" customHeight="1" x14ac:dyDescent="0.3">
      <c r="A11" s="51" t="s">
        <v>16</v>
      </c>
      <c r="B11" s="37">
        <f>COUNTIF('Cleaned Data'!G1:G511,"Converted")</f>
        <v>184</v>
      </c>
      <c r="C11" s="64">
        <f>B11/$A$5</f>
        <v>0.36799999999999999</v>
      </c>
      <c r="D11" s="65">
        <f>COUNTIF('Cleaned Data'!$J$2:$J$501,'Cleaned Data'!J485)</f>
        <v>52</v>
      </c>
      <c r="E11" s="36" t="s">
        <v>1495</v>
      </c>
      <c r="F11" s="50" t="s">
        <v>1494</v>
      </c>
      <c r="G11" s="30">
        <f>COUNTBLANK('Cleaned Data'!C1:C501)</f>
        <v>99</v>
      </c>
      <c r="H11" s="66">
        <f>G11/500</f>
        <v>0.19800000000000001</v>
      </c>
      <c r="I11" s="49" t="s">
        <v>1459</v>
      </c>
      <c r="J11" s="67">
        <v>0.20200000000000001</v>
      </c>
      <c r="L11"/>
      <c r="M11"/>
    </row>
    <row r="12" spans="1:13" ht="19.5" customHeight="1" x14ac:dyDescent="0.3">
      <c r="A12" s="48" t="s">
        <v>79</v>
      </c>
      <c r="B12" s="37">
        <f>COUNTIF('Cleaned Data'!G1:G512,"Open")</f>
        <v>134</v>
      </c>
      <c r="C12" s="64">
        <f t="shared" ref="C12:C15" si="0">B12/$A$5</f>
        <v>0.26800000000000002</v>
      </c>
      <c r="D12" s="65">
        <f>COUNTIF('Cleaned Data'!$J$2:$J$501,E12)</f>
        <v>0</v>
      </c>
      <c r="E12" s="41" t="s">
        <v>1493</v>
      </c>
      <c r="F12" s="47" t="s">
        <v>62</v>
      </c>
      <c r="G12" s="9">
        <f>COUNTIF('Cleaned Data'!$C$2:$C$501,F12)</f>
        <v>75</v>
      </c>
      <c r="H12" s="66">
        <f t="shared" ref="H12:H17" si="1">G12/500</f>
        <v>0.15</v>
      </c>
      <c r="I12" s="46" t="s">
        <v>1455</v>
      </c>
      <c r="J12" s="67">
        <v>0.15</v>
      </c>
      <c r="L12"/>
      <c r="M12"/>
    </row>
    <row r="13" spans="1:13" ht="19.5" customHeight="1" x14ac:dyDescent="0.3">
      <c r="A13" s="45" t="s">
        <v>48</v>
      </c>
      <c r="B13" s="37">
        <f>COUNTIF('Cleaned Data'!G1:G513,"Not Interested")</f>
        <v>61</v>
      </c>
      <c r="C13" s="64">
        <f t="shared" si="0"/>
        <v>0.122</v>
      </c>
      <c r="D13" s="65">
        <f>COUNTIF('Cleaned Data'!$J$2:$J$501,'Cleaned Data'!J498)</f>
        <v>57</v>
      </c>
      <c r="E13" s="36" t="s">
        <v>1492</v>
      </c>
      <c r="F13" s="44" t="s">
        <v>12</v>
      </c>
      <c r="G13" s="9">
        <f>COUNTIF('Cleaned Data'!$C$2:$C$501,F13)</f>
        <v>74</v>
      </c>
      <c r="H13" s="66">
        <f t="shared" si="1"/>
        <v>0.14799999999999999</v>
      </c>
      <c r="I13" s="43" t="s">
        <v>1454</v>
      </c>
      <c r="J13" s="67">
        <v>0.14599999999999999</v>
      </c>
      <c r="L13"/>
      <c r="M13"/>
    </row>
    <row r="14" spans="1:13" ht="19.5" customHeight="1" x14ac:dyDescent="0.3">
      <c r="A14" s="42" t="s">
        <v>54</v>
      </c>
      <c r="B14" s="37">
        <f>COUNTIF('Cleaned Data'!G1:G514,"Callback")</f>
        <v>61</v>
      </c>
      <c r="C14" s="64">
        <f t="shared" si="0"/>
        <v>0.122</v>
      </c>
      <c r="D14" s="65">
        <f>COUNTIF('Cleaned Data'!$J$2:$J$501,'Cleaned Data'!J499)</f>
        <v>53</v>
      </c>
      <c r="E14" s="41" t="s">
        <v>1491</v>
      </c>
      <c r="F14" s="40" t="s">
        <v>37</v>
      </c>
      <c r="G14" s="9">
        <f>COUNTIF('Cleaned Data'!$C$2:$C$501,F14)</f>
        <v>71</v>
      </c>
      <c r="H14" s="66">
        <f t="shared" si="1"/>
        <v>0.14199999999999999</v>
      </c>
      <c r="I14" s="39" t="s">
        <v>1454</v>
      </c>
      <c r="J14" s="67">
        <v>0.14000000000000001</v>
      </c>
      <c r="L14"/>
      <c r="M14"/>
    </row>
    <row r="15" spans="1:13" ht="19.5" customHeight="1" x14ac:dyDescent="0.3">
      <c r="A15" s="38" t="s">
        <v>111</v>
      </c>
      <c r="B15" s="37">
        <f>COUNTIF('Cleaned Data'!G1:G515,"Lost")</f>
        <v>60</v>
      </c>
      <c r="C15" s="64">
        <f t="shared" si="0"/>
        <v>0.12</v>
      </c>
      <c r="D15" s="65">
        <f>COUNTIF('Cleaned Data'!$J$2:$J$501,'Cleaned Data'!J489)</f>
        <v>52</v>
      </c>
      <c r="E15" s="36" t="s">
        <v>1490</v>
      </c>
      <c r="F15" s="35" t="s">
        <v>22</v>
      </c>
      <c r="G15" s="9">
        <f>COUNTIF('Cleaned Data'!$C$2:$C$501,F15)</f>
        <v>64</v>
      </c>
      <c r="H15" s="66">
        <f t="shared" si="1"/>
        <v>0.128</v>
      </c>
      <c r="I15" s="34" t="s">
        <v>1454</v>
      </c>
      <c r="J15" s="67">
        <v>0.128</v>
      </c>
      <c r="L15"/>
      <c r="M15"/>
    </row>
    <row r="16" spans="1:13" ht="19.5" customHeight="1" x14ac:dyDescent="0.3">
      <c r="D16"/>
      <c r="F16" s="33" t="s">
        <v>119</v>
      </c>
      <c r="G16" s="9">
        <f>COUNTIF('Cleaned Data'!$C$2:$C$501,F16)</f>
        <v>62</v>
      </c>
      <c r="H16" s="66">
        <f t="shared" si="1"/>
        <v>0.124</v>
      </c>
      <c r="I16" s="32" t="s">
        <v>1454</v>
      </c>
      <c r="J16" s="67">
        <v>0.124</v>
      </c>
      <c r="L16"/>
      <c r="M16"/>
    </row>
    <row r="17" spans="1:13" ht="19.5" customHeight="1" x14ac:dyDescent="0.3">
      <c r="D17"/>
      <c r="F17" s="31" t="s">
        <v>45</v>
      </c>
      <c r="G17" s="9">
        <f>COUNTIF('Cleaned Data'!$C$2:$C$501,F17)</f>
        <v>55</v>
      </c>
      <c r="H17" s="66">
        <f t="shared" si="1"/>
        <v>0.11</v>
      </c>
      <c r="I17" s="29" t="s">
        <v>1489</v>
      </c>
      <c r="J17" s="67">
        <v>0.11</v>
      </c>
      <c r="L17"/>
      <c r="M17"/>
    </row>
    <row r="18" spans="1:13" x14ac:dyDescent="0.3">
      <c r="L18"/>
      <c r="M18"/>
    </row>
    <row r="19" spans="1:13" ht="9.75" customHeight="1" x14ac:dyDescent="0.3"/>
    <row r="20" spans="1:13" ht="25.5" customHeight="1" x14ac:dyDescent="0.3">
      <c r="A20" s="117" t="s">
        <v>1488</v>
      </c>
      <c r="B20" s="127"/>
      <c r="C20" s="127"/>
      <c r="D20" s="127"/>
      <c r="E20" s="127"/>
      <c r="F20" s="127"/>
      <c r="G20" s="127"/>
      <c r="H20" s="127"/>
      <c r="I20" s="128"/>
      <c r="J20"/>
    </row>
    <row r="21" spans="1:13" ht="19.5" customHeight="1" x14ac:dyDescent="0.3">
      <c r="A21" s="28" t="s">
        <v>1</v>
      </c>
      <c r="B21" s="28" t="s">
        <v>1468</v>
      </c>
      <c r="C21" s="28" t="s">
        <v>16</v>
      </c>
      <c r="D21" s="28" t="s">
        <v>79</v>
      </c>
      <c r="E21" s="28" t="s">
        <v>54</v>
      </c>
      <c r="F21" s="28" t="s">
        <v>48</v>
      </c>
      <c r="G21" s="28" t="s">
        <v>111</v>
      </c>
      <c r="H21" s="28" t="s">
        <v>1467</v>
      </c>
      <c r="I21" s="28" t="s">
        <v>1487</v>
      </c>
    </row>
    <row r="22" spans="1:13" ht="19.5" customHeight="1" x14ac:dyDescent="0.3">
      <c r="A22" s="27" t="s">
        <v>202</v>
      </c>
      <c r="B22" s="26">
        <f>COUNTIF('Cleaned Data'!$B$2:$B$501,A22)</f>
        <v>72</v>
      </c>
      <c r="C22" s="26">
        <f>COUNTIFS('Cleaned Data'!$B$2:$B$501,Summary!$A22,'Cleaned Data'!$G$2:$G$501,Summary!C$21)</f>
        <v>30</v>
      </c>
      <c r="D22" s="26">
        <f>COUNTIFS('Cleaned Data'!$B$2:$B$501,Summary!$A22,'Cleaned Data'!$G$2:$G$501,Summary!D$21)</f>
        <v>18</v>
      </c>
      <c r="E22" s="26">
        <f>COUNTIFS('Cleaned Data'!$B$2:$B$501,Summary!$A22,'Cleaned Data'!$G$2:$G$501,Summary!E$21)</f>
        <v>7</v>
      </c>
      <c r="F22" s="26">
        <f>COUNTIFS('Cleaned Data'!$B$2:$B$501,Summary!$A22,'Cleaned Data'!$G$2:$G$501,Summary!F$21)</f>
        <v>9</v>
      </c>
      <c r="G22" s="26">
        <f>COUNTIFS('Cleaned Data'!$B$2:$B$501,Summary!$A22,'Cleaned Data'!$G$2:$G$501,Summary!G$21)</f>
        <v>8</v>
      </c>
      <c r="H22" s="68">
        <f>$C22/$B22</f>
        <v>0.41666666666666669</v>
      </c>
      <c r="I22" s="26" t="s">
        <v>1486</v>
      </c>
    </row>
    <row r="23" spans="1:13" ht="19.5" customHeight="1" x14ac:dyDescent="0.3">
      <c r="A23" s="10" t="s">
        <v>157</v>
      </c>
      <c r="B23" s="26">
        <f>COUNTIF('Cleaned Data'!$B$2:$B$501,A23)</f>
        <v>65</v>
      </c>
      <c r="C23" s="26">
        <f>COUNTIFS('Cleaned Data'!$B$2:$B$501,Summary!$A23,'Cleaned Data'!$G$2:$G$501,Summary!C$21)</f>
        <v>21</v>
      </c>
      <c r="D23" s="26">
        <f>COUNTIFS('Cleaned Data'!$B$2:$B$501,Summary!$A23,'Cleaned Data'!$G$2:$G$501,Summary!D$21)</f>
        <v>22</v>
      </c>
      <c r="E23" s="26">
        <f>COUNTIFS('Cleaned Data'!$B$2:$B$501,Summary!$A23,'Cleaned Data'!$G$2:$G$501,Summary!E$21)</f>
        <v>7</v>
      </c>
      <c r="F23" s="26">
        <f>COUNTIFS('Cleaned Data'!$B$2:$B$501,Summary!$A23,'Cleaned Data'!$G$2:$G$501,Summary!F$21)</f>
        <v>9</v>
      </c>
      <c r="G23" s="26">
        <f>COUNTIFS('Cleaned Data'!$B$2:$B$501,Summary!$A23,'Cleaned Data'!$G$2:$G$501,Summary!G$21)</f>
        <v>6</v>
      </c>
      <c r="H23" s="68">
        <f t="shared" ref="H23:H33" si="2">$C23/$B23</f>
        <v>0.32307692307692309</v>
      </c>
      <c r="I23" s="8" t="s">
        <v>1485</v>
      </c>
    </row>
    <row r="24" spans="1:13" ht="19.5" customHeight="1" x14ac:dyDescent="0.3">
      <c r="A24" s="25" t="s">
        <v>597</v>
      </c>
      <c r="B24" s="26">
        <f>COUNTIF('Cleaned Data'!$B$2:$B$501,A24)</f>
        <v>62</v>
      </c>
      <c r="C24" s="26">
        <f>COUNTIFS('Cleaned Data'!$B$2:$B$501,Summary!$A24,'Cleaned Data'!$G$2:$G$501,Summary!C$21)</f>
        <v>23</v>
      </c>
      <c r="D24" s="26">
        <f>COUNTIFS('Cleaned Data'!$B$2:$B$501,Summary!$A24,'Cleaned Data'!$G$2:$G$501,Summary!D$21)</f>
        <v>15</v>
      </c>
      <c r="E24" s="26">
        <f>COUNTIFS('Cleaned Data'!$B$2:$B$501,Summary!$A24,'Cleaned Data'!$G$2:$G$501,Summary!E$21)</f>
        <v>6</v>
      </c>
      <c r="F24" s="26">
        <f>COUNTIFS('Cleaned Data'!$B$2:$B$501,Summary!$A24,'Cleaned Data'!$G$2:$G$501,Summary!F$21)</f>
        <v>10</v>
      </c>
      <c r="G24" s="26">
        <f>COUNTIFS('Cleaned Data'!$B$2:$B$501,Summary!$A24,'Cleaned Data'!$G$2:$G$501,Summary!G$21)</f>
        <v>8</v>
      </c>
      <c r="H24" s="68">
        <f t="shared" si="2"/>
        <v>0.37096774193548387</v>
      </c>
      <c r="I24" s="24" t="s">
        <v>1484</v>
      </c>
    </row>
    <row r="25" spans="1:13" ht="19.5" customHeight="1" x14ac:dyDescent="0.3">
      <c r="A25" s="10" t="s">
        <v>227</v>
      </c>
      <c r="B25" s="26">
        <f>COUNTIF('Cleaned Data'!$B$2:$B$501,A25)</f>
        <v>60</v>
      </c>
      <c r="C25" s="26">
        <f>COUNTIFS('Cleaned Data'!$B$2:$B$501,Summary!$A25,'Cleaned Data'!$G$2:$G$501,Summary!C$21)</f>
        <v>25</v>
      </c>
      <c r="D25" s="26">
        <f>COUNTIFS('Cleaned Data'!$B$2:$B$501,Summary!$A25,'Cleaned Data'!$G$2:$G$501,Summary!D$21)</f>
        <v>12</v>
      </c>
      <c r="E25" s="26">
        <f>COUNTIFS('Cleaned Data'!$B$2:$B$501,Summary!$A25,'Cleaned Data'!$G$2:$G$501,Summary!E$21)</f>
        <v>9</v>
      </c>
      <c r="F25" s="26">
        <f>COUNTIFS('Cleaned Data'!$B$2:$B$501,Summary!$A25,'Cleaned Data'!$G$2:$G$501,Summary!F$21)</f>
        <v>6</v>
      </c>
      <c r="G25" s="26">
        <f>COUNTIFS('Cleaned Data'!$B$2:$B$501,Summary!$A25,'Cleaned Data'!$G$2:$G$501,Summary!G$21)</f>
        <v>8</v>
      </c>
      <c r="H25" s="68">
        <f t="shared" si="2"/>
        <v>0.41666666666666669</v>
      </c>
      <c r="I25" s="8" t="s">
        <v>1483</v>
      </c>
    </row>
    <row r="26" spans="1:13" ht="19.5" customHeight="1" x14ac:dyDescent="0.3">
      <c r="A26" s="25" t="s">
        <v>206</v>
      </c>
      <c r="B26" s="26">
        <f>COUNTIF('Cleaned Data'!$B$2:$B$501,A26)</f>
        <v>51</v>
      </c>
      <c r="C26" s="26">
        <f>COUNTIFS('Cleaned Data'!$B$2:$B$501,Summary!$A26,'Cleaned Data'!$G$2:$G$501,Summary!C$21)</f>
        <v>16</v>
      </c>
      <c r="D26" s="26">
        <f>COUNTIFS('Cleaned Data'!$B$2:$B$501,Summary!$A26,'Cleaned Data'!$G$2:$G$501,Summary!D$21)</f>
        <v>14</v>
      </c>
      <c r="E26" s="26">
        <f>COUNTIFS('Cleaned Data'!$B$2:$B$501,Summary!$A26,'Cleaned Data'!$G$2:$G$501,Summary!E$21)</f>
        <v>8</v>
      </c>
      <c r="F26" s="26">
        <f>COUNTIFS('Cleaned Data'!$B$2:$B$501,Summary!$A26,'Cleaned Data'!$G$2:$G$501,Summary!F$21)</f>
        <v>9</v>
      </c>
      <c r="G26" s="26">
        <f>COUNTIFS('Cleaned Data'!$B$2:$B$501,Summary!$A26,'Cleaned Data'!$G$2:$G$501,Summary!G$21)</f>
        <v>4</v>
      </c>
      <c r="H26" s="68">
        <f t="shared" si="2"/>
        <v>0.31372549019607843</v>
      </c>
      <c r="I26" s="24" t="s">
        <v>1482</v>
      </c>
    </row>
    <row r="27" spans="1:13" ht="19.5" customHeight="1" x14ac:dyDescent="0.3">
      <c r="A27" s="10" t="s">
        <v>134</v>
      </c>
      <c r="B27" s="26">
        <f>COUNTIF('Cleaned Data'!$B$2:$B$501,A27)</f>
        <v>51</v>
      </c>
      <c r="C27" s="26">
        <f>COUNTIFS('Cleaned Data'!$B$2:$B$501,Summary!$A27,'Cleaned Data'!$G$2:$G$501,Summary!C$21)</f>
        <v>17</v>
      </c>
      <c r="D27" s="26">
        <f>COUNTIFS('Cleaned Data'!$B$2:$B$501,Summary!$A27,'Cleaned Data'!$G$2:$G$501,Summary!D$21)</f>
        <v>16</v>
      </c>
      <c r="E27" s="26">
        <f>COUNTIFS('Cleaned Data'!$B$2:$B$501,Summary!$A27,'Cleaned Data'!$G$2:$G$501,Summary!E$21)</f>
        <v>6</v>
      </c>
      <c r="F27" s="26">
        <f>COUNTIFS('Cleaned Data'!$B$2:$B$501,Summary!$A27,'Cleaned Data'!$G$2:$G$501,Summary!F$21)</f>
        <v>3</v>
      </c>
      <c r="G27" s="26">
        <f>COUNTIFS('Cleaned Data'!$B$2:$B$501,Summary!$A27,'Cleaned Data'!$G$2:$G$501,Summary!G$21)</f>
        <v>9</v>
      </c>
      <c r="H27" s="68">
        <f t="shared" si="2"/>
        <v>0.33333333333333331</v>
      </c>
      <c r="I27" s="8" t="s">
        <v>1481</v>
      </c>
    </row>
    <row r="28" spans="1:13" ht="19.5" customHeight="1" x14ac:dyDescent="0.3">
      <c r="A28" s="25" t="s">
        <v>193</v>
      </c>
      <c r="B28" s="26">
        <f>COUNTIF('Cleaned Data'!$B$2:$B$501,A28)</f>
        <v>46</v>
      </c>
      <c r="C28" s="26">
        <f>COUNTIFS('Cleaned Data'!$B$2:$B$501,Summary!$A28,'Cleaned Data'!$G$2:$G$501,Summary!C$21)</f>
        <v>15</v>
      </c>
      <c r="D28" s="26">
        <f>COUNTIFS('Cleaned Data'!$B$2:$B$501,Summary!$A28,'Cleaned Data'!$G$2:$G$501,Summary!D$21)</f>
        <v>11</v>
      </c>
      <c r="E28" s="26">
        <f>COUNTIFS('Cleaned Data'!$B$2:$B$501,Summary!$A28,'Cleaned Data'!$G$2:$G$501,Summary!E$21)</f>
        <v>7</v>
      </c>
      <c r="F28" s="26">
        <f>COUNTIFS('Cleaned Data'!$B$2:$B$501,Summary!$A28,'Cleaned Data'!$G$2:$G$501,Summary!F$21)</f>
        <v>8</v>
      </c>
      <c r="G28" s="26">
        <f>COUNTIFS('Cleaned Data'!$B$2:$B$501,Summary!$A28,'Cleaned Data'!$G$2:$G$501,Summary!G$21)</f>
        <v>5</v>
      </c>
      <c r="H28" s="68">
        <f t="shared" si="2"/>
        <v>0.32608695652173914</v>
      </c>
      <c r="I28" s="24" t="s">
        <v>1480</v>
      </c>
    </row>
    <row r="29" spans="1:13" ht="19.5" customHeight="1" x14ac:dyDescent="0.3">
      <c r="A29" s="10" t="s">
        <v>29</v>
      </c>
      <c r="B29" s="26">
        <f>COUNTIF('Cleaned Data'!$B$2:$B$501,A29)</f>
        <v>44</v>
      </c>
      <c r="C29" s="26">
        <f>COUNTIFS('Cleaned Data'!$B$2:$B$501,Summary!$A29,'Cleaned Data'!$G$2:$G$501,Summary!C$21)</f>
        <v>12</v>
      </c>
      <c r="D29" s="26">
        <f>COUNTIFS('Cleaned Data'!$B$2:$B$501,Summary!$A29,'Cleaned Data'!$G$2:$G$501,Summary!D$21)</f>
        <v>15</v>
      </c>
      <c r="E29" s="26">
        <f>COUNTIFS('Cleaned Data'!$B$2:$B$501,Summary!$A29,'Cleaned Data'!$G$2:$G$501,Summary!E$21)</f>
        <v>5</v>
      </c>
      <c r="F29" s="26">
        <f>COUNTIFS('Cleaned Data'!$B$2:$B$501,Summary!$A29,'Cleaned Data'!$G$2:$G$501,Summary!F$21)</f>
        <v>4</v>
      </c>
      <c r="G29" s="26">
        <f>COUNTIFS('Cleaned Data'!$B$2:$B$501,Summary!$A29,'Cleaned Data'!$G$2:$G$501,Summary!G$21)</f>
        <v>8</v>
      </c>
      <c r="H29" s="68">
        <f t="shared" si="2"/>
        <v>0.27272727272727271</v>
      </c>
      <c r="I29" s="8" t="s">
        <v>1479</v>
      </c>
    </row>
    <row r="30" spans="1:13" ht="19.5" customHeight="1" x14ac:dyDescent="0.3">
      <c r="A30" s="25" t="s">
        <v>11</v>
      </c>
      <c r="B30" s="26">
        <f>COUNTIF('Cleaned Data'!$B$2:$B$501,A30)</f>
        <v>18</v>
      </c>
      <c r="C30" s="26">
        <f>COUNTIFS('Cleaned Data'!$B$2:$B$501,Summary!$A30,'Cleaned Data'!$G$2:$G$501,Summary!C$21)</f>
        <v>10</v>
      </c>
      <c r="D30" s="26">
        <f>COUNTIFS('Cleaned Data'!$B$2:$B$501,Summary!$A30,'Cleaned Data'!$G$2:$G$501,Summary!D$21)</f>
        <v>2</v>
      </c>
      <c r="E30" s="26">
        <f>COUNTIFS('Cleaned Data'!$B$2:$B$501,Summary!$A30,'Cleaned Data'!$G$2:$G$501,Summary!E$21)</f>
        <v>4</v>
      </c>
      <c r="F30" s="26">
        <f>COUNTIFS('Cleaned Data'!$B$2:$B$501,Summary!$A30,'Cleaned Data'!$G$2:$G$501,Summary!F$21)</f>
        <v>1</v>
      </c>
      <c r="G30" s="26">
        <f>COUNTIFS('Cleaned Data'!$B$2:$B$501,Summary!$A30,'Cleaned Data'!$G$2:$G$501,Summary!G$21)</f>
        <v>1</v>
      </c>
      <c r="H30" s="68">
        <f t="shared" si="2"/>
        <v>0.55555555555555558</v>
      </c>
      <c r="I30" s="24" t="s">
        <v>1478</v>
      </c>
    </row>
    <row r="31" spans="1:13" ht="19.5" customHeight="1" x14ac:dyDescent="0.3">
      <c r="A31" s="10" t="s">
        <v>36</v>
      </c>
      <c r="B31" s="26">
        <f>COUNTIF('Cleaned Data'!$B$2:$B$501,A31)</f>
        <v>15</v>
      </c>
      <c r="C31" s="26">
        <f>COUNTIFS('Cleaned Data'!$B$2:$B$501,Summary!$A31,'Cleaned Data'!$G$2:$G$501,Summary!C$21)</f>
        <v>7</v>
      </c>
      <c r="D31" s="26">
        <f>COUNTIFS('Cleaned Data'!$B$2:$B$501,Summary!$A31,'Cleaned Data'!$G$2:$G$501,Summary!D$21)</f>
        <v>5</v>
      </c>
      <c r="E31" s="26">
        <f>COUNTIFS('Cleaned Data'!$B$2:$B$501,Summary!$A31,'Cleaned Data'!$G$2:$G$501,Summary!E$21)</f>
        <v>1</v>
      </c>
      <c r="F31" s="26">
        <f>COUNTIFS('Cleaned Data'!$B$2:$B$501,Summary!$A31,'Cleaned Data'!$G$2:$G$501,Summary!F$21)</f>
        <v>0</v>
      </c>
      <c r="G31" s="26">
        <f>COUNTIFS('Cleaned Data'!$B$2:$B$501,Summary!$A31,'Cleaned Data'!$G$2:$G$501,Summary!G$21)</f>
        <v>2</v>
      </c>
      <c r="H31" s="68">
        <f t="shared" si="2"/>
        <v>0.46666666666666667</v>
      </c>
      <c r="I31" s="8" t="s">
        <v>1477</v>
      </c>
    </row>
    <row r="32" spans="1:13" ht="19.5" customHeight="1" x14ac:dyDescent="0.3">
      <c r="A32" s="25" t="s">
        <v>275</v>
      </c>
      <c r="B32" s="26">
        <f>COUNTIF('Cleaned Data'!$B$2:$B$501,A32)</f>
        <v>10</v>
      </c>
      <c r="C32" s="26">
        <f>COUNTIFS('Cleaned Data'!$B$2:$B$501,Summary!$A32,'Cleaned Data'!$G$2:$G$501,Summary!C$21)</f>
        <v>5</v>
      </c>
      <c r="D32" s="26">
        <f>COUNTIFS('Cleaned Data'!$B$2:$B$501,Summary!$A32,'Cleaned Data'!$G$2:$G$501,Summary!D$21)</f>
        <v>2</v>
      </c>
      <c r="E32" s="26">
        <f>COUNTIFS('Cleaned Data'!$B$2:$B$501,Summary!$A32,'Cleaned Data'!$G$2:$G$501,Summary!E$21)</f>
        <v>1</v>
      </c>
      <c r="F32" s="26">
        <f>COUNTIFS('Cleaned Data'!$B$2:$B$501,Summary!$A32,'Cleaned Data'!$G$2:$G$501,Summary!F$21)</f>
        <v>2</v>
      </c>
      <c r="G32" s="26">
        <f>COUNTIFS('Cleaned Data'!$B$2:$B$501,Summary!$A32,'Cleaned Data'!$G$2:$G$501,Summary!G$21)</f>
        <v>0</v>
      </c>
      <c r="H32" s="68">
        <f t="shared" si="2"/>
        <v>0.5</v>
      </c>
      <c r="I32" s="24" t="s">
        <v>1476</v>
      </c>
    </row>
    <row r="33" spans="1:10" ht="19.5" customHeight="1" x14ac:dyDescent="0.3">
      <c r="A33" s="10" t="s">
        <v>153</v>
      </c>
      <c r="B33" s="26">
        <f>COUNTIF('Cleaned Data'!$B$2:$B$501,A33)</f>
        <v>6</v>
      </c>
      <c r="C33" s="26">
        <f>COUNTIFS('Cleaned Data'!$B$2:$B$501,Summary!$A33,'Cleaned Data'!$G$2:$G$501,Summary!C$21)</f>
        <v>3</v>
      </c>
      <c r="D33" s="26">
        <f>COUNTIFS('Cleaned Data'!$B$2:$B$501,Summary!$A33,'Cleaned Data'!$G$2:$G$501,Summary!D$21)</f>
        <v>2</v>
      </c>
      <c r="E33" s="26">
        <f>COUNTIFS('Cleaned Data'!$B$2:$B$501,Summary!$A33,'Cleaned Data'!$G$2:$G$501,Summary!E$21)</f>
        <v>0</v>
      </c>
      <c r="F33" s="26">
        <f>COUNTIFS('Cleaned Data'!$B$2:$B$501,Summary!$A33,'Cleaned Data'!$G$2:$G$501,Summary!F$21)</f>
        <v>0</v>
      </c>
      <c r="G33" s="26">
        <f>COUNTIFS('Cleaned Data'!$B$2:$B$501,Summary!$A33,'Cleaned Data'!$G$2:$G$501,Summary!G$21)</f>
        <v>1</v>
      </c>
      <c r="H33" s="68">
        <f t="shared" si="2"/>
        <v>0.5</v>
      </c>
      <c r="I33" s="8" t="s">
        <v>1475</v>
      </c>
    </row>
    <row r="35" spans="1:10" ht="9.75" customHeight="1" x14ac:dyDescent="0.3"/>
    <row r="36" spans="1:10" ht="25.5" customHeight="1" x14ac:dyDescent="0.3">
      <c r="A36" s="118" t="s">
        <v>1474</v>
      </c>
      <c r="B36" s="118"/>
      <c r="C36" s="118"/>
      <c r="D36" s="118"/>
      <c r="E36" s="118"/>
      <c r="F36" s="119" t="s">
        <v>1473</v>
      </c>
      <c r="G36" s="119"/>
      <c r="H36" s="119"/>
      <c r="I36" s="119"/>
      <c r="J36" s="119"/>
    </row>
    <row r="37" spans="1:10" ht="19.5" customHeight="1" x14ac:dyDescent="0.3">
      <c r="A37" s="23" t="s">
        <v>7</v>
      </c>
      <c r="B37" s="23" t="s">
        <v>1472</v>
      </c>
      <c r="C37" s="23" t="s">
        <v>1471</v>
      </c>
      <c r="D37" s="23" t="s">
        <v>1470</v>
      </c>
      <c r="E37" s="23"/>
      <c r="F37" s="22" t="s">
        <v>1469</v>
      </c>
      <c r="G37" s="22" t="s">
        <v>1468</v>
      </c>
      <c r="H37" s="22" t="s">
        <v>16</v>
      </c>
      <c r="I37" s="22" t="s">
        <v>1467</v>
      </c>
      <c r="J37" s="22" t="s">
        <v>1466</v>
      </c>
    </row>
    <row r="38" spans="1:10" ht="19.5" customHeight="1" x14ac:dyDescent="0.3">
      <c r="A38" s="13" t="s">
        <v>42</v>
      </c>
      <c r="B38" s="12">
        <f>COUNTIF('Cleaned Data'!$H$2:$H$501,Summary!$A38)</f>
        <v>70</v>
      </c>
      <c r="C38" s="69">
        <f>$B38/500</f>
        <v>0.14000000000000001</v>
      </c>
      <c r="D38" s="21" t="s">
        <v>1465</v>
      </c>
      <c r="E38" s="70">
        <v>0.15350877192982457</v>
      </c>
      <c r="F38" s="18" t="s">
        <v>1464</v>
      </c>
      <c r="G38" s="17">
        <v>168</v>
      </c>
      <c r="H38" s="17">
        <v>60</v>
      </c>
      <c r="I38" s="17" t="s">
        <v>1463</v>
      </c>
      <c r="J38" s="17" t="s">
        <v>1462</v>
      </c>
    </row>
    <row r="39" spans="1:10" ht="19.5" customHeight="1" x14ac:dyDescent="0.3">
      <c r="A39" s="10" t="s">
        <v>65</v>
      </c>
      <c r="B39" s="12">
        <f>COUNTIF('Cleaned Data'!$H$2:$H$501,Summary!$A39)</f>
        <v>64</v>
      </c>
      <c r="C39" s="69">
        <f t="shared" ref="C39:C46" si="3">$B39/500</f>
        <v>0.128</v>
      </c>
      <c r="D39" s="20" t="s">
        <v>1459</v>
      </c>
      <c r="E39" s="71">
        <v>0.14035087719298245</v>
      </c>
      <c r="F39" s="10" t="s">
        <v>1461</v>
      </c>
      <c r="G39" s="8">
        <v>159</v>
      </c>
      <c r="H39" s="8">
        <v>64</v>
      </c>
      <c r="I39" s="8" t="s">
        <v>1460</v>
      </c>
      <c r="J39" s="8" t="s">
        <v>1456</v>
      </c>
    </row>
    <row r="40" spans="1:10" ht="19.5" customHeight="1" x14ac:dyDescent="0.3">
      <c r="A40" s="13" t="s">
        <v>25</v>
      </c>
      <c r="B40" s="12">
        <f>COUNTIF('Cleaned Data'!$H$2:$H$501,Summary!$A40)</f>
        <v>61</v>
      </c>
      <c r="C40" s="69">
        <f t="shared" si="3"/>
        <v>0.122</v>
      </c>
      <c r="D40" s="19" t="s">
        <v>1459</v>
      </c>
      <c r="E40" s="70">
        <v>0.1337719298245614</v>
      </c>
      <c r="F40" s="18" t="s">
        <v>1458</v>
      </c>
      <c r="G40" s="17">
        <v>142</v>
      </c>
      <c r="H40" s="17">
        <v>53</v>
      </c>
      <c r="I40" s="17" t="s">
        <v>1457</v>
      </c>
      <c r="J40" s="17" t="s">
        <v>1456</v>
      </c>
    </row>
    <row r="41" spans="1:10" ht="19.5" customHeight="1" x14ac:dyDescent="0.3">
      <c r="A41" s="10" t="s">
        <v>72</v>
      </c>
      <c r="B41" s="12">
        <f>COUNTIF('Cleaned Data'!$H$2:$H$501,Summary!$A41)</f>
        <v>56</v>
      </c>
      <c r="C41" s="69">
        <f t="shared" si="3"/>
        <v>0.112</v>
      </c>
      <c r="D41" s="16" t="s">
        <v>1455</v>
      </c>
      <c r="E41" s="71">
        <v>0.12280701754385964</v>
      </c>
    </row>
    <row r="42" spans="1:10" ht="19.5" customHeight="1" x14ac:dyDescent="0.3">
      <c r="A42" s="13" t="s">
        <v>125</v>
      </c>
      <c r="B42" s="12">
        <f>COUNTIF('Cleaned Data'!$H$2:$H$501,Summary!$A42)</f>
        <v>55</v>
      </c>
      <c r="C42" s="69">
        <f t="shared" si="3"/>
        <v>0.11</v>
      </c>
      <c r="D42" s="15" t="s">
        <v>1455</v>
      </c>
      <c r="E42" s="70">
        <v>0.1206140350877193</v>
      </c>
    </row>
    <row r="43" spans="1:10" ht="19.5" customHeight="1" x14ac:dyDescent="0.3">
      <c r="A43" s="10" t="s">
        <v>83</v>
      </c>
      <c r="B43" s="12">
        <f>COUNTIF('Cleaned Data'!$H$2:$H$501,Summary!$A43)</f>
        <v>53</v>
      </c>
      <c r="C43" s="69">
        <f t="shared" si="3"/>
        <v>0.106</v>
      </c>
      <c r="D43" s="14" t="s">
        <v>1455</v>
      </c>
      <c r="E43" s="71">
        <v>0.1162280701754386</v>
      </c>
    </row>
    <row r="44" spans="1:10" ht="19.5" customHeight="1" x14ac:dyDescent="0.3">
      <c r="A44" s="13" t="s">
        <v>49</v>
      </c>
      <c r="B44" s="12">
        <f>COUNTIF('Cleaned Data'!$H$2:$H$501,Summary!$A44)</f>
        <v>52</v>
      </c>
      <c r="C44" s="69">
        <f t="shared" si="3"/>
        <v>0.104</v>
      </c>
      <c r="D44" s="11" t="s">
        <v>1455</v>
      </c>
      <c r="E44" s="70">
        <v>0.11403508771929824</v>
      </c>
    </row>
    <row r="45" spans="1:10" ht="19.5" customHeight="1" x14ac:dyDescent="0.3">
      <c r="A45" s="10" t="s">
        <v>17</v>
      </c>
      <c r="B45" s="12">
        <f>COUNTIF('Cleaned Data'!$H$2:$H$501,Summary!$A45)</f>
        <v>45</v>
      </c>
      <c r="C45" s="69">
        <f t="shared" si="3"/>
        <v>0.09</v>
      </c>
      <c r="D45" s="7" t="s">
        <v>1454</v>
      </c>
      <c r="E45" s="71">
        <v>9.8684210526315791E-2</v>
      </c>
    </row>
    <row r="46" spans="1:10" x14ac:dyDescent="0.3">
      <c r="A46" s="10" t="s">
        <v>1619</v>
      </c>
      <c r="B46" s="12">
        <f>COUNTIF(Table1[City],'Cleaned Data'!H467)</f>
        <v>44</v>
      </c>
      <c r="C46" s="69">
        <f t="shared" si="3"/>
        <v>8.7999999999999995E-2</v>
      </c>
    </row>
  </sheetData>
  <mergeCells count="27">
    <mergeCell ref="E6:F6"/>
    <mergeCell ref="A9:E9"/>
    <mergeCell ref="A36:E36"/>
    <mergeCell ref="F36:J36"/>
    <mergeCell ref="A7:B7"/>
    <mergeCell ref="C7:D7"/>
    <mergeCell ref="E7:F7"/>
    <mergeCell ref="G7:H7"/>
    <mergeCell ref="I7:J7"/>
    <mergeCell ref="F9:I9"/>
    <mergeCell ref="A20:I20"/>
    <mergeCell ref="G6:H6"/>
    <mergeCell ref="I6:J6"/>
    <mergeCell ref="A6:B6"/>
    <mergeCell ref="C6:D6"/>
    <mergeCell ref="A5:B5"/>
    <mergeCell ref="C5:D5"/>
    <mergeCell ref="A1:J1"/>
    <mergeCell ref="A2:J2"/>
    <mergeCell ref="A4:B4"/>
    <mergeCell ref="C4:D4"/>
    <mergeCell ref="E4:F4"/>
    <mergeCell ref="G4:H4"/>
    <mergeCell ref="I4:J4"/>
    <mergeCell ref="E5:F5"/>
    <mergeCell ref="G5:H5"/>
    <mergeCell ref="I5:J5"/>
  </mergeCells>
  <conditionalFormatting sqref="D11:D15">
    <cfRule type="expression" dxfId="0" priority="4">
      <formula>$C$11&gt;30</formula>
    </cfRule>
  </conditionalFormatting>
  <conditionalFormatting sqref="J11:J17">
    <cfRule type="iconSet" priority="2">
      <iconSet iconSet="3TrafficLights2">
        <cfvo type="percent" val="0"/>
        <cfvo type="percent" val="33"/>
        <cfvo type="percent" val="67"/>
      </iconSet>
    </cfRule>
  </conditionalFormatting>
  <conditionalFormatting sqref="H22:H33">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r:id="rId1"/>
  <extLst>
    <ext xmlns:x14="http://schemas.microsoft.com/office/spreadsheetml/2009/9/main" uri="{78C0D931-6437-407d-A8EE-F0AAD7539E65}">
      <x14:conditionalFormattings>
        <x14:conditionalFormatting xmlns:xm="http://schemas.microsoft.com/office/excel/2006/main">
          <x14:cfRule type="iconSet" priority="3" id="{66A0FF2D-E75F-4538-8026-0166FC16A52C}">
            <x14:iconSet iconSet="3Stars" showValue="0">
              <x14:cfvo type="percent">
                <xm:f>0</xm:f>
              </x14:cfvo>
              <x14:cfvo type="percent">
                <xm:f>33</xm:f>
              </x14:cfvo>
              <x14:cfvo type="percent">
                <xm:f>67</xm:f>
              </x14:cfvo>
            </x14:iconSet>
          </x14:cfRule>
          <xm:sqref>J11:J17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C978B-FB01-41AE-81FC-52945E433C67}">
  <sheetPr codeName="Sheet1"/>
  <dimension ref="A1:AM32"/>
  <sheetViews>
    <sheetView showGridLines="0" topLeftCell="A8" workbookViewId="0">
      <selection activeCell="A37" sqref="A37"/>
    </sheetView>
  </sheetViews>
  <sheetFormatPr defaultRowHeight="14.4" x14ac:dyDescent="0.3"/>
  <cols>
    <col min="1" max="19" width="8.88671875" style="63"/>
    <col min="20" max="20" width="7.5546875" style="63" customWidth="1"/>
    <col min="21" max="24" width="8.88671875" style="63"/>
    <col min="25" max="25" width="12.5546875" bestFit="1" customWidth="1"/>
    <col min="26" max="26" width="19.21875" bestFit="1" customWidth="1"/>
    <col min="27" max="27" width="9.77734375" bestFit="1" customWidth="1"/>
    <col min="28" max="28" width="12.88671875" bestFit="1" customWidth="1"/>
    <col min="29" max="30" width="14.109375" bestFit="1" customWidth="1"/>
    <col min="31" max="31" width="10.77734375" bestFit="1" customWidth="1"/>
    <col min="32" max="32" width="3" bestFit="1" customWidth="1"/>
    <col min="33" max="33" width="4" bestFit="1" customWidth="1"/>
    <col min="34" max="34" width="12.5546875" bestFit="1" customWidth="1"/>
    <col min="35" max="35" width="19.21875" bestFit="1" customWidth="1"/>
    <col min="36" max="36" width="11.6640625" customWidth="1"/>
    <col min="37" max="37" width="12.5546875" bestFit="1" customWidth="1"/>
    <col min="38" max="38" width="12" bestFit="1" customWidth="1"/>
    <col min="39" max="39" width="12.5546875" bestFit="1" customWidth="1"/>
    <col min="40" max="40" width="19.21875" bestFit="1" customWidth="1"/>
    <col min="41" max="41" width="9.77734375" bestFit="1" customWidth="1"/>
    <col min="42" max="42" width="4.44140625" bestFit="1" customWidth="1"/>
    <col min="43" max="43" width="13.21875" bestFit="1" customWidth="1"/>
    <col min="44" max="44" width="5.5546875" bestFit="1" customWidth="1"/>
    <col min="45" max="45" width="10.77734375" bestFit="1" customWidth="1"/>
  </cols>
  <sheetData>
    <row r="1" spans="1:39" s="63" customFormat="1" ht="21" customHeight="1" x14ac:dyDescent="0.3">
      <c r="A1" s="107" t="s">
        <v>1620</v>
      </c>
      <c r="B1" s="107"/>
      <c r="C1" s="107"/>
      <c r="D1" s="107"/>
      <c r="E1" s="107"/>
      <c r="F1" s="107"/>
      <c r="G1" s="107"/>
      <c r="H1" s="107"/>
      <c r="I1" s="107"/>
      <c r="J1" s="107"/>
      <c r="K1" s="107"/>
      <c r="L1" s="107"/>
      <c r="M1" s="107"/>
      <c r="N1" s="107"/>
      <c r="O1" s="107"/>
      <c r="P1" s="107"/>
      <c r="Q1" s="107"/>
      <c r="R1" s="107"/>
      <c r="S1" s="107"/>
      <c r="T1" s="107"/>
    </row>
    <row r="2" spans="1:39" s="63" customFormat="1" ht="21" customHeight="1" x14ac:dyDescent="0.3">
      <c r="A2" s="107"/>
      <c r="B2" s="107"/>
      <c r="C2" s="107"/>
      <c r="D2" s="107"/>
      <c r="E2" s="107"/>
      <c r="F2" s="107"/>
      <c r="G2" s="107"/>
      <c r="H2" s="107"/>
      <c r="I2" s="107"/>
      <c r="J2" s="107"/>
      <c r="K2" s="107"/>
      <c r="L2" s="107"/>
      <c r="M2" s="107"/>
      <c r="N2" s="107"/>
      <c r="O2" s="107"/>
      <c r="P2" s="107"/>
      <c r="Q2" s="107"/>
      <c r="R2" s="107"/>
      <c r="S2" s="107"/>
      <c r="T2" s="107"/>
    </row>
    <row r="3" spans="1:39" ht="14.4" customHeight="1" x14ac:dyDescent="0.3">
      <c r="Q3" s="100" t="s">
        <v>1621</v>
      </c>
      <c r="R3" s="129" t="s">
        <v>1623</v>
      </c>
      <c r="S3" s="130"/>
      <c r="T3" s="130"/>
    </row>
    <row r="4" spans="1:39" ht="14.4" customHeight="1" x14ac:dyDescent="0.3">
      <c r="Q4" s="101"/>
      <c r="R4" s="101"/>
      <c r="S4" s="135"/>
      <c r="T4" s="101"/>
    </row>
    <row r="5" spans="1:39" ht="14.4" customHeight="1" thickBot="1" x14ac:dyDescent="0.35">
      <c r="Q5" s="102"/>
      <c r="R5" s="102"/>
      <c r="S5" s="136"/>
      <c r="T5" s="102"/>
      <c r="Y5" s="89" t="s">
        <v>1613</v>
      </c>
      <c r="Z5" t="s">
        <v>1615</v>
      </c>
      <c r="AC5" s="89" t="s">
        <v>1613</v>
      </c>
      <c r="AD5" t="s">
        <v>1618</v>
      </c>
      <c r="AH5" s="89" t="s">
        <v>1613</v>
      </c>
      <c r="AI5" t="s">
        <v>1615</v>
      </c>
      <c r="AJ5" s="63"/>
    </row>
    <row r="6" spans="1:39" ht="19.2" thickTop="1" thickBot="1" x14ac:dyDescent="0.35">
      <c r="Q6" s="103"/>
      <c r="R6" s="131" t="s">
        <v>1622</v>
      </c>
      <c r="S6" s="131"/>
      <c r="T6" s="131"/>
      <c r="Y6" s="90" t="s">
        <v>37</v>
      </c>
      <c r="Z6" s="91">
        <v>71</v>
      </c>
      <c r="AC6" s="90" t="s">
        <v>54</v>
      </c>
      <c r="AD6" s="91">
        <v>61</v>
      </c>
      <c r="AH6" s="90" t="s">
        <v>1619</v>
      </c>
      <c r="AI6" s="91">
        <v>33</v>
      </c>
      <c r="AJ6" s="63"/>
    </row>
    <row r="7" spans="1:39" ht="14.4" customHeight="1" thickTop="1" x14ac:dyDescent="0.3">
      <c r="Q7" s="132">
        <f>Summary!C5</f>
        <v>184</v>
      </c>
      <c r="R7" s="132"/>
      <c r="S7" s="133">
        <f>Q7/Summary!A5</f>
        <v>0.36799999999999999</v>
      </c>
      <c r="T7" s="134"/>
      <c r="Y7" s="90" t="s">
        <v>45</v>
      </c>
      <c r="Z7" s="91">
        <v>55</v>
      </c>
      <c r="AC7" s="90" t="s">
        <v>16</v>
      </c>
      <c r="AD7" s="91">
        <v>184</v>
      </c>
      <c r="AH7" s="90" t="s">
        <v>17</v>
      </c>
      <c r="AI7" s="91">
        <v>36</v>
      </c>
      <c r="AJ7" s="63"/>
    </row>
    <row r="8" spans="1:39" ht="14.4" customHeight="1" x14ac:dyDescent="0.3">
      <c r="Q8" s="132"/>
      <c r="R8" s="132"/>
      <c r="S8" s="133"/>
      <c r="T8" s="134"/>
      <c r="Y8" s="90" t="s">
        <v>22</v>
      </c>
      <c r="Z8" s="91">
        <v>64</v>
      </c>
      <c r="AC8" s="90" t="s">
        <v>111</v>
      </c>
      <c r="AD8" s="91">
        <v>60</v>
      </c>
      <c r="AH8" s="90" t="s">
        <v>49</v>
      </c>
      <c r="AI8" s="91">
        <v>39</v>
      </c>
      <c r="AJ8" s="63"/>
    </row>
    <row r="9" spans="1:39" x14ac:dyDescent="0.3">
      <c r="Y9" s="90" t="s">
        <v>119</v>
      </c>
      <c r="Z9" s="91">
        <v>62</v>
      </c>
      <c r="AC9" s="90" t="s">
        <v>48</v>
      </c>
      <c r="AD9" s="91">
        <v>61</v>
      </c>
      <c r="AH9" s="90" t="s">
        <v>83</v>
      </c>
      <c r="AI9" s="91">
        <v>42</v>
      </c>
      <c r="AJ9" s="63"/>
    </row>
    <row r="10" spans="1:39" x14ac:dyDescent="0.3">
      <c r="Y10" s="90" t="s">
        <v>12</v>
      </c>
      <c r="Z10" s="91">
        <v>73</v>
      </c>
      <c r="AC10" s="90" t="s">
        <v>79</v>
      </c>
      <c r="AD10" s="91">
        <v>134</v>
      </c>
      <c r="AH10" s="90" t="s">
        <v>125</v>
      </c>
      <c r="AI10" s="91">
        <v>44</v>
      </c>
      <c r="AJ10" s="63"/>
    </row>
    <row r="11" spans="1:39" x14ac:dyDescent="0.3">
      <c r="Y11" s="90" t="s">
        <v>62</v>
      </c>
      <c r="Z11" s="91">
        <v>75</v>
      </c>
      <c r="AC11" s="90" t="s">
        <v>1614</v>
      </c>
      <c r="AD11" s="91">
        <v>500</v>
      </c>
      <c r="AH11" s="90" t="s">
        <v>72</v>
      </c>
      <c r="AI11" s="91">
        <v>46</v>
      </c>
      <c r="AJ11" s="63"/>
    </row>
    <row r="12" spans="1:39" x14ac:dyDescent="0.3">
      <c r="Y12" s="90" t="s">
        <v>1617</v>
      </c>
      <c r="Z12" s="91"/>
      <c r="AH12" s="90" t="s">
        <v>25</v>
      </c>
      <c r="AI12" s="91">
        <v>49</v>
      </c>
      <c r="AJ12" s="63"/>
      <c r="AM12" s="63"/>
    </row>
    <row r="13" spans="1:39" x14ac:dyDescent="0.3">
      <c r="Y13" s="90" t="s">
        <v>1614</v>
      </c>
      <c r="Z13" s="91">
        <v>400</v>
      </c>
      <c r="AH13" s="90" t="s">
        <v>65</v>
      </c>
      <c r="AI13" s="91">
        <v>55</v>
      </c>
      <c r="AJ13" s="63"/>
    </row>
    <row r="14" spans="1:39" x14ac:dyDescent="0.3">
      <c r="AH14" s="90" t="s">
        <v>42</v>
      </c>
      <c r="AI14" s="91">
        <v>56</v>
      </c>
    </row>
    <row r="15" spans="1:39" x14ac:dyDescent="0.3">
      <c r="AH15" s="90" t="s">
        <v>1614</v>
      </c>
      <c r="AI15" s="91">
        <v>400</v>
      </c>
    </row>
    <row r="18" spans="25:36" x14ac:dyDescent="0.3">
      <c r="Y18" s="89" t="s">
        <v>1618</v>
      </c>
      <c r="Z18" s="89" t="s">
        <v>1616</v>
      </c>
    </row>
    <row r="19" spans="25:36" x14ac:dyDescent="0.3">
      <c r="Y19" s="89" t="s">
        <v>1613</v>
      </c>
      <c r="Z19" s="63" t="s">
        <v>54</v>
      </c>
      <c r="AA19" s="63" t="s">
        <v>16</v>
      </c>
      <c r="AB19" s="63" t="s">
        <v>111</v>
      </c>
      <c r="AC19" s="63" t="s">
        <v>48</v>
      </c>
      <c r="AD19" s="63" t="s">
        <v>79</v>
      </c>
      <c r="AE19" s="63" t="s">
        <v>1614</v>
      </c>
      <c r="AH19" s="6" t="s">
        <v>1469</v>
      </c>
      <c r="AI19" s="6" t="s">
        <v>1468</v>
      </c>
      <c r="AJ19" s="6" t="s">
        <v>16</v>
      </c>
    </row>
    <row r="20" spans="25:36" x14ac:dyDescent="0.3">
      <c r="Y20" s="90" t="s">
        <v>36</v>
      </c>
      <c r="Z20" s="91">
        <v>1</v>
      </c>
      <c r="AA20" s="91">
        <v>7</v>
      </c>
      <c r="AB20" s="91">
        <v>2</v>
      </c>
      <c r="AC20" s="91"/>
      <c r="AD20" s="91">
        <v>5</v>
      </c>
      <c r="AE20" s="91">
        <v>15</v>
      </c>
      <c r="AH20" s="6" t="s">
        <v>1464</v>
      </c>
      <c r="AI20" s="6">
        <v>168</v>
      </c>
      <c r="AJ20" s="6">
        <v>60</v>
      </c>
    </row>
    <row r="21" spans="25:36" x14ac:dyDescent="0.3">
      <c r="Y21" s="90" t="s">
        <v>275</v>
      </c>
      <c r="Z21" s="91">
        <v>1</v>
      </c>
      <c r="AA21" s="91">
        <v>5</v>
      </c>
      <c r="AB21" s="91"/>
      <c r="AC21" s="91">
        <v>2</v>
      </c>
      <c r="AD21" s="91">
        <v>2</v>
      </c>
      <c r="AE21" s="91">
        <v>10</v>
      </c>
      <c r="AH21" s="6" t="s">
        <v>1461</v>
      </c>
      <c r="AI21" s="6">
        <v>159</v>
      </c>
      <c r="AJ21" s="6">
        <v>64</v>
      </c>
    </row>
    <row r="22" spans="25:36" x14ac:dyDescent="0.3">
      <c r="Y22" s="90" t="s">
        <v>134</v>
      </c>
      <c r="Z22" s="91">
        <v>6</v>
      </c>
      <c r="AA22" s="91">
        <v>17</v>
      </c>
      <c r="AB22" s="91">
        <v>9</v>
      </c>
      <c r="AC22" s="91">
        <v>3</v>
      </c>
      <c r="AD22" s="91">
        <v>16</v>
      </c>
      <c r="AE22" s="91">
        <v>51</v>
      </c>
      <c r="AH22" s="6" t="s">
        <v>1458</v>
      </c>
      <c r="AI22" s="6">
        <v>142</v>
      </c>
      <c r="AJ22" s="6">
        <v>53</v>
      </c>
    </row>
    <row r="23" spans="25:36" x14ac:dyDescent="0.3">
      <c r="Y23" s="90" t="s">
        <v>29</v>
      </c>
      <c r="Z23" s="91">
        <v>5</v>
      </c>
      <c r="AA23" s="91">
        <v>12</v>
      </c>
      <c r="AB23" s="91">
        <v>8</v>
      </c>
      <c r="AC23" s="91">
        <v>4</v>
      </c>
      <c r="AD23" s="91">
        <v>15</v>
      </c>
      <c r="AE23" s="91">
        <v>44</v>
      </c>
    </row>
    <row r="24" spans="25:36" x14ac:dyDescent="0.3">
      <c r="Y24" s="90" t="s">
        <v>157</v>
      </c>
      <c r="Z24" s="91">
        <v>7</v>
      </c>
      <c r="AA24" s="91">
        <v>21</v>
      </c>
      <c r="AB24" s="91">
        <v>6</v>
      </c>
      <c r="AC24" s="91">
        <v>9</v>
      </c>
      <c r="AD24" s="91">
        <v>22</v>
      </c>
      <c r="AE24" s="91">
        <v>65</v>
      </c>
    </row>
    <row r="25" spans="25:36" x14ac:dyDescent="0.3">
      <c r="Y25" s="90" t="s">
        <v>227</v>
      </c>
      <c r="Z25" s="91">
        <v>9</v>
      </c>
      <c r="AA25" s="91">
        <v>25</v>
      </c>
      <c r="AB25" s="91">
        <v>8</v>
      </c>
      <c r="AC25" s="91">
        <v>6</v>
      </c>
      <c r="AD25" s="91">
        <v>12</v>
      </c>
      <c r="AE25" s="91">
        <v>60</v>
      </c>
    </row>
    <row r="26" spans="25:36" x14ac:dyDescent="0.3">
      <c r="Y26" s="90" t="s">
        <v>202</v>
      </c>
      <c r="Z26" s="91">
        <v>7</v>
      </c>
      <c r="AA26" s="91">
        <v>30</v>
      </c>
      <c r="AB26" s="91">
        <v>8</v>
      </c>
      <c r="AC26" s="91">
        <v>9</v>
      </c>
      <c r="AD26" s="91">
        <v>18</v>
      </c>
      <c r="AE26" s="91">
        <v>72</v>
      </c>
    </row>
    <row r="27" spans="25:36" x14ac:dyDescent="0.3">
      <c r="Y27" s="90" t="s">
        <v>153</v>
      </c>
      <c r="Z27" s="91"/>
      <c r="AA27" s="91">
        <v>3</v>
      </c>
      <c r="AB27" s="91">
        <v>1</v>
      </c>
      <c r="AC27" s="91"/>
      <c r="AD27" s="91">
        <v>2</v>
      </c>
      <c r="AE27" s="91">
        <v>6</v>
      </c>
    </row>
    <row r="28" spans="25:36" x14ac:dyDescent="0.3">
      <c r="Y28" s="90" t="s">
        <v>11</v>
      </c>
      <c r="Z28" s="91">
        <v>4</v>
      </c>
      <c r="AA28" s="91">
        <v>10</v>
      </c>
      <c r="AB28" s="91">
        <v>1</v>
      </c>
      <c r="AC28" s="91">
        <v>1</v>
      </c>
      <c r="AD28" s="91">
        <v>2</v>
      </c>
      <c r="AE28" s="91">
        <v>18</v>
      </c>
    </row>
    <row r="29" spans="25:36" x14ac:dyDescent="0.3">
      <c r="Y29" s="90" t="s">
        <v>193</v>
      </c>
      <c r="Z29" s="91">
        <v>7</v>
      </c>
      <c r="AA29" s="91">
        <v>15</v>
      </c>
      <c r="AB29" s="91">
        <v>5</v>
      </c>
      <c r="AC29" s="91">
        <v>8</v>
      </c>
      <c r="AD29" s="91">
        <v>11</v>
      </c>
      <c r="AE29" s="91">
        <v>46</v>
      </c>
    </row>
    <row r="30" spans="25:36" x14ac:dyDescent="0.3">
      <c r="Y30" s="90" t="s">
        <v>206</v>
      </c>
      <c r="Z30" s="91">
        <v>8</v>
      </c>
      <c r="AA30" s="91">
        <v>16</v>
      </c>
      <c r="AB30" s="91">
        <v>4</v>
      </c>
      <c r="AC30" s="91">
        <v>9</v>
      </c>
      <c r="AD30" s="91">
        <v>14</v>
      </c>
      <c r="AE30" s="91">
        <v>51</v>
      </c>
    </row>
    <row r="31" spans="25:36" x14ac:dyDescent="0.3">
      <c r="Y31" s="90" t="s">
        <v>597</v>
      </c>
      <c r="Z31" s="91">
        <v>6</v>
      </c>
      <c r="AA31" s="91">
        <v>23</v>
      </c>
      <c r="AB31" s="91">
        <v>8</v>
      </c>
      <c r="AC31" s="91">
        <v>10</v>
      </c>
      <c r="AD31" s="91">
        <v>15</v>
      </c>
      <c r="AE31" s="91">
        <v>62</v>
      </c>
    </row>
    <row r="32" spans="25:36" x14ac:dyDescent="0.3">
      <c r="Y32" s="90" t="s">
        <v>1614</v>
      </c>
      <c r="Z32" s="91">
        <v>61</v>
      </c>
      <c r="AA32" s="91">
        <v>184</v>
      </c>
      <c r="AB32" s="91">
        <v>60</v>
      </c>
      <c r="AC32" s="91">
        <v>61</v>
      </c>
      <c r="AD32" s="91">
        <v>134</v>
      </c>
      <c r="AE32" s="91">
        <v>500</v>
      </c>
    </row>
  </sheetData>
  <mergeCells count="6">
    <mergeCell ref="A1:T2"/>
    <mergeCell ref="R3:T3"/>
    <mergeCell ref="R6:T6"/>
    <mergeCell ref="Q7:R8"/>
    <mergeCell ref="S7:T8"/>
    <mergeCell ref="S4:S5"/>
  </mergeCells>
  <pageMargins left="0.7" right="0.7" top="0.75" bottom="0.75" header="0.3" footer="0.3"/>
  <pageSetup orientation="portrait" r:id="rId5"/>
  <drawing r:id="rId6"/>
  <legacyDrawing r:id="rId7"/>
  <controls>
    <mc:AlternateContent xmlns:mc="http://schemas.openxmlformats.org/markup-compatibility/2006">
      <mc:Choice Requires="x14">
        <control shapeId="1025" r:id="rId8" name="TextBox1">
          <controlPr defaultSize="0" autoLine="0" autoPict="0" linkedCell="Summary!A5" r:id="rId9">
            <anchor moveWithCells="1">
              <from>
                <xdr:col>17</xdr:col>
                <xdr:colOff>464820</xdr:colOff>
                <xdr:row>3</xdr:row>
                <xdr:rowOff>30480</xdr:rowOff>
              </from>
              <to>
                <xdr:col>18</xdr:col>
                <xdr:colOff>487680</xdr:colOff>
                <xdr:row>4</xdr:row>
                <xdr:rowOff>144780</xdr:rowOff>
              </to>
            </anchor>
          </controlPr>
        </control>
      </mc:Choice>
      <mc:Fallback>
        <control shapeId="1025" r:id="rId8" name="TextBox1"/>
      </mc:Fallback>
    </mc:AlternateContent>
  </controls>
  <tableParts count="1">
    <tablePart r:id="rId10"/>
  </tableParts>
  <extLst>
    <ext xmlns:x14="http://schemas.microsoft.com/office/spreadsheetml/2009/9/main" uri="{A8765BA9-456A-4dab-B4F3-ACF838C121DE}">
      <x14:slicerList>
        <x14:slicer r:id="rId11"/>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3714F3-0B45-4D78-87E8-F078910469E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CRM Dump</vt:lpstr>
      <vt:lpstr>Cleaned Data</vt:lpstr>
      <vt:lpstr>Summary</vt:lpstr>
      <vt:lpstr>Dashboard &amp; 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2026-03-21T07:12:37Z</dcterms:created>
  <dcterms:modified xsi:type="dcterms:W3CDTF">2026-04-17T14:57:11Z</dcterms:modified>
</cp:coreProperties>
</file>